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Bernado\Desktop\Projetos\HigherAnalyses\documentation\Estratégia de Dados\"/>
    </mc:Choice>
  </mc:AlternateContent>
  <xr:revisionPtr revIDLastSave="0" documentId="13_ncr:1_{D5FFE891-DE3D-4A76-947F-7C12894534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SHBOARD-CFO" sheetId="1" r:id="rId1"/>
    <sheet name="DADO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6" i="2" l="1"/>
  <c r="Q23" i="2"/>
  <c r="P23" i="2"/>
  <c r="O23" i="2"/>
  <c r="N23" i="2"/>
  <c r="M23" i="2"/>
  <c r="L23" i="2"/>
  <c r="K23" i="2"/>
  <c r="J23" i="2"/>
  <c r="AA15" i="2"/>
  <c r="Q22" i="2"/>
  <c r="P22" i="2"/>
  <c r="O22" i="2"/>
  <c r="N22" i="2"/>
  <c r="M22" i="2"/>
  <c r="L22" i="2"/>
  <c r="K22" i="2"/>
  <c r="J22" i="2"/>
  <c r="AA14" i="2"/>
  <c r="Q21" i="2"/>
  <c r="P21" i="2"/>
  <c r="O21" i="2"/>
  <c r="N21" i="2"/>
  <c r="M21" i="2"/>
  <c r="L21" i="2"/>
  <c r="K21" i="2"/>
  <c r="J21" i="2"/>
  <c r="AA13" i="2"/>
  <c r="Q20" i="2"/>
  <c r="P20" i="2"/>
  <c r="O20" i="2"/>
  <c r="N20" i="2"/>
  <c r="M20" i="2"/>
  <c r="L20" i="2"/>
  <c r="K20" i="2"/>
  <c r="J20" i="2"/>
  <c r="AA12" i="2"/>
  <c r="Q19" i="2"/>
  <c r="P19" i="2"/>
  <c r="O19" i="2"/>
  <c r="N19" i="2"/>
  <c r="M19" i="2"/>
  <c r="L19" i="2"/>
  <c r="K19" i="2"/>
  <c r="J19" i="2"/>
  <c r="W140" i="1"/>
  <c r="Y140" i="1"/>
  <c r="AA140" i="1"/>
  <c r="W141" i="1"/>
  <c r="Y141" i="1"/>
  <c r="AA141" i="1"/>
  <c r="W142" i="1"/>
  <c r="Y142" i="1"/>
  <c r="AA142" i="1"/>
  <c r="W143" i="1"/>
  <c r="Y143" i="1"/>
  <c r="AA143" i="1"/>
  <c r="W144" i="1"/>
  <c r="Y144" i="1"/>
  <c r="AA144" i="1"/>
  <c r="U144" i="1"/>
  <c r="U143" i="1"/>
  <c r="U142" i="1"/>
  <c r="U141" i="1"/>
  <c r="U140" i="1"/>
  <c r="S144" i="1"/>
  <c r="S143" i="1"/>
  <c r="S142" i="1"/>
  <c r="S141" i="1"/>
  <c r="S140" i="1"/>
  <c r="Q144" i="1"/>
  <c r="Q143" i="1"/>
  <c r="Q142" i="1"/>
  <c r="Q141" i="1"/>
  <c r="Q140" i="1"/>
  <c r="O144" i="1"/>
  <c r="O143" i="1"/>
  <c r="O142" i="1"/>
  <c r="O141" i="1"/>
  <c r="O140" i="1"/>
  <c r="M144" i="1"/>
  <c r="M143" i="1"/>
  <c r="M142" i="1"/>
  <c r="M141" i="1"/>
  <c r="M140" i="1"/>
  <c r="K144" i="1"/>
  <c r="K143" i="1"/>
  <c r="K142" i="1"/>
  <c r="K141" i="1"/>
  <c r="K140" i="1"/>
  <c r="I144" i="1"/>
  <c r="I143" i="1"/>
  <c r="I142" i="1"/>
  <c r="I141" i="1"/>
  <c r="I140" i="1"/>
  <c r="G141" i="1"/>
  <c r="G142" i="1"/>
  <c r="G143" i="1"/>
  <c r="G144" i="1"/>
  <c r="G140" i="1"/>
  <c r="K125" i="1"/>
  <c r="T125" i="1"/>
  <c r="B9" i="2"/>
  <c r="B125" i="1" s="1"/>
  <c r="H4" i="2"/>
  <c r="I4" i="2"/>
  <c r="J4" i="2"/>
  <c r="K4" i="2"/>
  <c r="L4" i="2"/>
  <c r="M4" i="2"/>
  <c r="N4" i="2"/>
  <c r="O4" i="2"/>
  <c r="P4" i="2"/>
  <c r="Q4" i="2"/>
  <c r="R4" i="2"/>
  <c r="G4" i="2"/>
  <c r="H39" i="1"/>
  <c r="B6" i="2"/>
  <c r="B39" i="1" s="1"/>
  <c r="H6" i="1"/>
  <c r="B6" i="1"/>
  <c r="N39" i="1" l="1"/>
</calcChain>
</file>

<file path=xl/sharedStrings.xml><?xml version="1.0" encoding="utf-8"?>
<sst xmlns="http://schemas.openxmlformats.org/spreadsheetml/2006/main" count="129" uniqueCount="49">
  <si>
    <t>Índices de Liquidez</t>
  </si>
  <si>
    <t>Liquidez Corrente</t>
  </si>
  <si>
    <t>Liquidez Seca</t>
  </si>
  <si>
    <t>Liquidez Imediata</t>
  </si>
  <si>
    <t>Liquidez Geral</t>
  </si>
  <si>
    <t>Estoques</t>
  </si>
  <si>
    <t>Ativo Circulante</t>
  </si>
  <si>
    <t>Ativo Não Circulante</t>
  </si>
  <si>
    <t>Passivo Circulante</t>
  </si>
  <si>
    <t>Passivo Não Circulante</t>
  </si>
  <si>
    <t>Índices de Endividamento</t>
  </si>
  <si>
    <t>Patrimônio Líquido</t>
  </si>
  <si>
    <t>Participação de Capital de Terceiros</t>
  </si>
  <si>
    <t>Composição do Endividamento</t>
  </si>
  <si>
    <t>Imobilização do Patrimônio Líquido</t>
  </si>
  <si>
    <t>Evolução Temporal</t>
  </si>
  <si>
    <t>Item</t>
  </si>
  <si>
    <t>Janeiro</t>
  </si>
  <si>
    <t>Fevereiro</t>
  </si>
  <si>
    <t>Março</t>
  </si>
  <si>
    <t>Abril</t>
  </si>
  <si>
    <t>Maio</t>
  </si>
  <si>
    <t>Junho</t>
  </si>
  <si>
    <t>Receita Líquida</t>
  </si>
  <si>
    <t>CPV</t>
  </si>
  <si>
    <t>Lucro Bruto</t>
  </si>
  <si>
    <t>Julho</t>
  </si>
  <si>
    <t>Agosto</t>
  </si>
  <si>
    <t>Setembro</t>
  </si>
  <si>
    <t>Outubro</t>
  </si>
  <si>
    <t>Novembro</t>
  </si>
  <si>
    <t>Dezembro</t>
  </si>
  <si>
    <t>Análise de Receita por Usuários (RPU)</t>
  </si>
  <si>
    <t>RPU Mensal Geral</t>
  </si>
  <si>
    <t>RPU Usuário Gratuitos</t>
  </si>
  <si>
    <t>RPU Usuários Pagantes</t>
  </si>
  <si>
    <t>Receita Total Mensal</t>
  </si>
  <si>
    <t>Qtde. de Usuário</t>
  </si>
  <si>
    <t>Receita Total Usuários G</t>
  </si>
  <si>
    <t>LTV Usuários Gratuitos</t>
  </si>
  <si>
    <t>LTV Usuários Pagantes</t>
  </si>
  <si>
    <t>PCT</t>
  </si>
  <si>
    <t>CE</t>
  </si>
  <si>
    <t>IPL</t>
  </si>
  <si>
    <t>Soma</t>
  </si>
  <si>
    <t>Média</t>
  </si>
  <si>
    <t>Soma Acumulada</t>
  </si>
  <si>
    <t>Contagem</t>
  </si>
  <si>
    <t>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</si>
</sst>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0" xfId="0" applyFont="1" applyFill="1" applyAlignment="1">
      <alignment horizontal="left" vertical="center"/>
    </xf>
    <xf numFmtId="0" fontId="0" fillId="3" borderId="0" xfId="0" applyFill="1"/>
    <xf numFmtId="8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9" fontId="4" fillId="2" borderId="0" xfId="2" applyFont="1" applyFill="1" applyAlignment="1">
      <alignment horizontal="center" vertical="center"/>
    </xf>
    <xf numFmtId="44" fontId="0" fillId="0" borderId="0" xfId="1" applyFont="1"/>
    <xf numFmtId="44" fontId="4" fillId="2" borderId="0" xfId="1" applyFont="1" applyFill="1" applyAlignment="1">
      <alignment horizontal="center" vertical="center"/>
    </xf>
    <xf numFmtId="9" fontId="6" fillId="3" borderId="0" xfId="2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44" fontId="7" fillId="2" borderId="0" xfId="1" applyFont="1" applyFill="1"/>
    <xf numFmtId="9" fontId="8" fillId="2" borderId="0" xfId="2" applyFont="1" applyFill="1"/>
    <xf numFmtId="9" fontId="9" fillId="2" borderId="0" xfId="2" applyFont="1" applyFill="1"/>
    <xf numFmtId="9" fontId="10" fillId="2" borderId="0" xfId="2" applyFont="1" applyFill="1"/>
    <xf numFmtId="0" fontId="11" fillId="0" borderId="0" xfId="0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DADOS!$A$1:$A$5</c:f>
              <c:strCache>
                <c:ptCount val="5"/>
                <c:pt idx="0">
                  <c:v>Ativo Circulante</c:v>
                </c:pt>
                <c:pt idx="1">
                  <c:v>Ativo Não Circulante</c:v>
                </c:pt>
                <c:pt idx="2">
                  <c:v>Estoques</c:v>
                </c:pt>
                <c:pt idx="3">
                  <c:v>Passivo Circulante</c:v>
                </c:pt>
                <c:pt idx="4">
                  <c:v>Passivo Não Circulante</c:v>
                </c:pt>
              </c:strCache>
            </c:strRef>
          </c:cat>
          <c:val>
            <c:numRef>
              <c:f>DADOS!$B$1:$B$5</c:f>
              <c:numCache>
                <c:formatCode>_("R$"* #,##0.00_);_("R$"* \(#,##0.00\);_("R$"* "-"??_);_(@_)</c:formatCode>
                <c:ptCount val="5"/>
                <c:pt idx="0">
                  <c:v>1000000</c:v>
                </c:pt>
                <c:pt idx="1">
                  <c:v>5000000</c:v>
                </c:pt>
                <c:pt idx="2">
                  <c:v>500000</c:v>
                </c:pt>
                <c:pt idx="3">
                  <c:v>5000000</c:v>
                </c:pt>
                <c:pt idx="4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55-4E0D-8C17-BF5A69EC5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1599615"/>
        <c:axId val="1141600095"/>
      </c:barChart>
      <c:catAx>
        <c:axId val="114159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1600095"/>
        <c:crosses val="autoZero"/>
        <c:auto val="1"/>
        <c:lblAlgn val="ctr"/>
        <c:lblOffset val="100"/>
        <c:noMultiLvlLbl val="0"/>
      </c:catAx>
      <c:valAx>
        <c:axId val="114160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159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Composição do Endividamento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DADOS!$A$4:$A$5</c:f>
              <c:strCache>
                <c:ptCount val="2"/>
                <c:pt idx="0">
                  <c:v>Passivo Circulante</c:v>
                </c:pt>
                <c:pt idx="1">
                  <c:v>Passivo Não Circulante</c:v>
                </c:pt>
              </c:strCache>
            </c:strRef>
          </c:cat>
          <c:val>
            <c:numRef>
              <c:f>DADOS!$B$4:$B$5</c:f>
              <c:numCache>
                <c:formatCode>_("R$"* #,##0.00_);_("R$"* \(#,##0.00\);_("R$"* "-"??_);_(@_)</c:formatCode>
                <c:ptCount val="2"/>
                <c:pt idx="0">
                  <c:v>5000000</c:v>
                </c:pt>
                <c:pt idx="1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9-4473-A1E5-526475A3C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Imobilização  do Patrimônio</a:t>
            </a:r>
            <a:r>
              <a:rPr lang="pt-BR" b="1" baseline="0"/>
              <a:t> Líquido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56-463F-8B6A-1FBA5DB2EA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DADOS!$A$1:$A$6</c15:sqref>
                  </c15:fullRef>
                </c:ext>
              </c:extLst>
              <c:f>(DADOS!$A$2,DADOS!$A$6)</c:f>
              <c:strCache>
                <c:ptCount val="2"/>
                <c:pt idx="0">
                  <c:v>Ativo Não Circulante</c:v>
                </c:pt>
                <c:pt idx="1">
                  <c:v>Patrimônio Líquido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DADOS!$B$1:$B$6</c15:sqref>
                  </c15:fullRef>
                </c:ext>
              </c:extLst>
              <c:f>(DADOS!$B$2,DADOS!$B$6)</c:f>
              <c:numCache>
                <c:formatCode>_("R$"* #,##0.00_);_("R$"* \(#,##0.00\);_("R$"* "-"??_);_(@_)</c:formatCode>
                <c:ptCount val="2"/>
                <c:pt idx="0">
                  <c:v>5000000</c:v>
                </c:pt>
                <c:pt idx="1">
                  <c:v>900000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DADOS!$B$4</c15:sqref>
                  <c15:spPr xmlns:c15="http://schemas.microsoft.com/office/drawing/2012/chart"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DADOS!$B$5</c15:sqref>
                  <c15:spPr xmlns:c15="http://schemas.microsoft.com/office/drawing/2012/chart"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0756-463F-8B6A-1FBA5DB2E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Participação</a:t>
            </a:r>
            <a:r>
              <a:rPr lang="pt-BR" b="1" baseline="0"/>
              <a:t> do Capital de Terceiros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DADOS!$A$1:$A$6</c15:sqref>
                  </c15:fullRef>
                </c:ext>
              </c:extLst>
              <c:f>DADOS!$A$4:$A$6</c:f>
              <c:strCache>
                <c:ptCount val="3"/>
                <c:pt idx="0">
                  <c:v>Passivo Circulante</c:v>
                </c:pt>
                <c:pt idx="1">
                  <c:v>Passivo Não Circulante</c:v>
                </c:pt>
                <c:pt idx="2">
                  <c:v>Patrimônio Líquido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DADOS!$B$1:$B$6</c15:sqref>
                  </c15:fullRef>
                </c:ext>
              </c:extLst>
              <c:f>DADOS!$B$4:$B$6</c:f>
              <c:numCache>
                <c:formatCode>_("R$"* #,##0.00_);_("R$"* \(#,##0.00\);_("R$"* "-"??_);_(@_)</c:formatCode>
                <c:ptCount val="3"/>
                <c:pt idx="0">
                  <c:v>5000000</c:v>
                </c:pt>
                <c:pt idx="1">
                  <c:v>100000</c:v>
                </c:pt>
                <c:pt idx="2">
                  <c:v>900000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4-CDE0-4F19-829A-003F47FE2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 Temporal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DADOS!$F$2</c:f>
              <c:strCache>
                <c:ptCount val="1"/>
                <c:pt idx="0">
                  <c:v>Receita Líquida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DADOS!$G$1:$R$1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DADOS!$G$2:$R$2</c:f>
              <c:numCache>
                <c:formatCode>_("R$"* #,##0.00_);_("R$"* \(#,##0.00\);_("R$"* "-"??_);_(@_)</c:formatCode>
                <c:ptCount val="12"/>
                <c:pt idx="0">
                  <c:v>850000</c:v>
                </c:pt>
                <c:pt idx="1">
                  <c:v>935000</c:v>
                </c:pt>
                <c:pt idx="2">
                  <c:v>800000</c:v>
                </c:pt>
                <c:pt idx="3">
                  <c:v>1000000</c:v>
                </c:pt>
                <c:pt idx="4">
                  <c:v>235000</c:v>
                </c:pt>
                <c:pt idx="5">
                  <c:v>600000</c:v>
                </c:pt>
                <c:pt idx="6">
                  <c:v>799000</c:v>
                </c:pt>
                <c:pt idx="7">
                  <c:v>589006</c:v>
                </c:pt>
                <c:pt idx="8">
                  <c:v>496000</c:v>
                </c:pt>
                <c:pt idx="9">
                  <c:v>1232000</c:v>
                </c:pt>
                <c:pt idx="10">
                  <c:v>988600</c:v>
                </c:pt>
                <c:pt idx="11">
                  <c:v>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77-4904-8120-F095A00C56E7}"/>
            </c:ext>
          </c:extLst>
        </c:ser>
        <c:ser>
          <c:idx val="1"/>
          <c:order val="1"/>
          <c:tx>
            <c:strRef>
              <c:f>DADOS!$F$3</c:f>
              <c:strCache>
                <c:ptCount val="1"/>
                <c:pt idx="0">
                  <c:v>CPV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DADOS!$G$1:$R$1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DADOS!$G$3:$R$3</c:f>
              <c:numCache>
                <c:formatCode>_("R$"* #,##0.00_);_("R$"* \(#,##0.00\);_("R$"* "-"??_);_(@_)</c:formatCode>
                <c:ptCount val="12"/>
                <c:pt idx="0">
                  <c:v>100000</c:v>
                </c:pt>
                <c:pt idx="1">
                  <c:v>50000</c:v>
                </c:pt>
                <c:pt idx="2">
                  <c:v>100000</c:v>
                </c:pt>
                <c:pt idx="3">
                  <c:v>600000</c:v>
                </c:pt>
                <c:pt idx="4">
                  <c:v>543000</c:v>
                </c:pt>
                <c:pt idx="5">
                  <c:v>45000</c:v>
                </c:pt>
                <c:pt idx="6">
                  <c:v>102000</c:v>
                </c:pt>
                <c:pt idx="7">
                  <c:v>150326</c:v>
                </c:pt>
                <c:pt idx="8">
                  <c:v>489632</c:v>
                </c:pt>
                <c:pt idx="9">
                  <c:v>400000</c:v>
                </c:pt>
                <c:pt idx="10">
                  <c:v>450000</c:v>
                </c:pt>
                <c:pt idx="11">
                  <c:v>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77-4904-8120-F095A00C56E7}"/>
            </c:ext>
          </c:extLst>
        </c:ser>
        <c:ser>
          <c:idx val="2"/>
          <c:order val="2"/>
          <c:tx>
            <c:strRef>
              <c:f>DADOS!$F$4</c:f>
              <c:strCache>
                <c:ptCount val="1"/>
                <c:pt idx="0">
                  <c:v>Lucro Bruto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DADOS!$G$1:$R$1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DADOS!$G$4:$R$4</c:f>
              <c:numCache>
                <c:formatCode>_("R$"* #,##0.00_);_("R$"* \(#,##0.00\);_("R$"* "-"??_);_(@_)</c:formatCode>
                <c:ptCount val="12"/>
                <c:pt idx="0">
                  <c:v>750000</c:v>
                </c:pt>
                <c:pt idx="1">
                  <c:v>885000</c:v>
                </c:pt>
                <c:pt idx="2">
                  <c:v>700000</c:v>
                </c:pt>
                <c:pt idx="3">
                  <c:v>400000</c:v>
                </c:pt>
                <c:pt idx="4">
                  <c:v>-308000</c:v>
                </c:pt>
                <c:pt idx="5">
                  <c:v>555000</c:v>
                </c:pt>
                <c:pt idx="6">
                  <c:v>697000</c:v>
                </c:pt>
                <c:pt idx="7">
                  <c:v>438680</c:v>
                </c:pt>
                <c:pt idx="8">
                  <c:v>6368</c:v>
                </c:pt>
                <c:pt idx="9">
                  <c:v>832000</c:v>
                </c:pt>
                <c:pt idx="10">
                  <c:v>538600</c:v>
                </c:pt>
                <c:pt idx="11">
                  <c:v>388888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77-4904-8120-F095A00C5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8080095"/>
        <c:axId val="1368078655"/>
      </c:lineChart>
      <c:catAx>
        <c:axId val="136808009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8078655"/>
        <c:crosses val="autoZero"/>
        <c:auto val="1"/>
        <c:lblAlgn val="ctr"/>
        <c:lblOffset val="100"/>
        <c:noMultiLvlLbl val="0"/>
      </c:catAx>
      <c:valAx>
        <c:axId val="136807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808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DADOS!$F$7</c:f>
              <c:strCache>
                <c:ptCount val="1"/>
                <c:pt idx="0">
                  <c:v>PCT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DADOS!$G$6:$R$6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DADOS!$G$7:$R$7</c:f>
              <c:numCache>
                <c:formatCode>General</c:formatCode>
                <c:ptCount val="12"/>
                <c:pt idx="0">
                  <c:v>100</c:v>
                </c:pt>
                <c:pt idx="1">
                  <c:v>50</c:v>
                </c:pt>
                <c:pt idx="2">
                  <c:v>60</c:v>
                </c:pt>
                <c:pt idx="3">
                  <c:v>80</c:v>
                </c:pt>
                <c:pt idx="4">
                  <c:v>200</c:v>
                </c:pt>
                <c:pt idx="5">
                  <c:v>260</c:v>
                </c:pt>
                <c:pt idx="6">
                  <c:v>420</c:v>
                </c:pt>
                <c:pt idx="7">
                  <c:v>480</c:v>
                </c:pt>
                <c:pt idx="8">
                  <c:v>557</c:v>
                </c:pt>
                <c:pt idx="9">
                  <c:v>600</c:v>
                </c:pt>
                <c:pt idx="10">
                  <c:v>700</c:v>
                </c:pt>
                <c:pt idx="11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3-42E7-8FF5-B7D8CFA2959C}"/>
            </c:ext>
          </c:extLst>
        </c:ser>
        <c:ser>
          <c:idx val="1"/>
          <c:order val="1"/>
          <c:tx>
            <c:strRef>
              <c:f>DADOS!$F$8</c:f>
              <c:strCache>
                <c:ptCount val="1"/>
                <c:pt idx="0">
                  <c:v>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DADOS!$G$6:$R$6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DADOS!$G$8:$R$8</c:f>
              <c:numCache>
                <c:formatCode>General</c:formatCode>
                <c:ptCount val="12"/>
                <c:pt idx="0">
                  <c:v>20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70</c:v>
                </c:pt>
                <c:pt idx="5">
                  <c:v>90</c:v>
                </c:pt>
                <c:pt idx="6">
                  <c:v>120</c:v>
                </c:pt>
                <c:pt idx="7">
                  <c:v>130</c:v>
                </c:pt>
                <c:pt idx="8">
                  <c:v>98</c:v>
                </c:pt>
                <c:pt idx="9">
                  <c:v>120</c:v>
                </c:pt>
                <c:pt idx="10">
                  <c:v>120</c:v>
                </c:pt>
                <c:pt idx="11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53-42E7-8FF5-B7D8CFA2959C}"/>
            </c:ext>
          </c:extLst>
        </c:ser>
        <c:ser>
          <c:idx val="2"/>
          <c:order val="2"/>
          <c:tx>
            <c:strRef>
              <c:f>DADOS!$F$9</c:f>
              <c:strCache>
                <c:ptCount val="1"/>
                <c:pt idx="0">
                  <c:v>IPL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DADOS!$G$6:$R$6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DADOS!$G$9:$R$9</c:f>
              <c:numCache>
                <c:formatCode>General</c:formatCode>
                <c:ptCount val="12"/>
                <c:pt idx="0">
                  <c:v>100</c:v>
                </c:pt>
                <c:pt idx="1">
                  <c:v>120</c:v>
                </c:pt>
                <c:pt idx="2">
                  <c:v>90</c:v>
                </c:pt>
                <c:pt idx="3">
                  <c:v>60</c:v>
                </c:pt>
                <c:pt idx="4">
                  <c:v>160</c:v>
                </c:pt>
                <c:pt idx="5">
                  <c:v>250</c:v>
                </c:pt>
                <c:pt idx="6">
                  <c:v>380</c:v>
                </c:pt>
                <c:pt idx="7">
                  <c:v>470</c:v>
                </c:pt>
                <c:pt idx="8">
                  <c:v>556</c:v>
                </c:pt>
                <c:pt idx="9">
                  <c:v>600</c:v>
                </c:pt>
                <c:pt idx="10">
                  <c:v>600</c:v>
                </c:pt>
                <c:pt idx="11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53-42E7-8FF5-B7D8CFA29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9177039"/>
        <c:axId val="1659196239"/>
      </c:lineChart>
      <c:catAx>
        <c:axId val="165917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9196239"/>
        <c:crosses val="autoZero"/>
        <c:auto val="1"/>
        <c:lblAlgn val="ctr"/>
        <c:lblOffset val="100"/>
        <c:noMultiLvlLbl val="0"/>
      </c:catAx>
      <c:valAx>
        <c:axId val="165919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917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Análise de Receita</a:t>
            </a:r>
            <a:r>
              <a:rPr lang="pt-BR" b="1" baseline="0"/>
              <a:t> por Usuário em 2025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DADOS!$F$19:$G$19</c:f>
              <c:strCache>
                <c:ptCount val="2"/>
                <c:pt idx="0">
                  <c:v>RPU Mensal Geral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DADOS!$H$18:$Q$18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f>DADOS!$H$19:$Q$19</c:f>
              <c:numCache>
                <c:formatCode>General</c:formatCode>
                <c:ptCount val="10"/>
                <c:pt idx="0" formatCode="0%">
                  <c:v>0.02</c:v>
                </c:pt>
                <c:pt idx="1">
                  <c:v>-0.4</c:v>
                </c:pt>
                <c:pt idx="2" formatCode="0%">
                  <c:v>-0.4</c:v>
                </c:pt>
                <c:pt idx="3" formatCode="0%">
                  <c:v>1</c:v>
                </c:pt>
                <c:pt idx="4" formatCode="0%">
                  <c:v>1.6666666666666607E-2</c:v>
                </c:pt>
                <c:pt idx="5" formatCode="0%">
                  <c:v>0.14754098360655754</c:v>
                </c:pt>
                <c:pt idx="6" formatCode="0%">
                  <c:v>0.14285714285714279</c:v>
                </c:pt>
                <c:pt idx="7" formatCode="0%">
                  <c:v>-0.25</c:v>
                </c:pt>
                <c:pt idx="8" formatCode="0%">
                  <c:v>-0.33333333333333337</c:v>
                </c:pt>
                <c:pt idx="9" formatCode="0%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B4-40A7-B52E-5704139246F9}"/>
            </c:ext>
          </c:extLst>
        </c:ser>
        <c:ser>
          <c:idx val="1"/>
          <c:order val="1"/>
          <c:tx>
            <c:strRef>
              <c:f>DADOS!$F$20:$G$20</c:f>
              <c:strCache>
                <c:ptCount val="2"/>
                <c:pt idx="0">
                  <c:v>RPU Usuário Gratuitos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DADOS!$H$18:$Q$18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f>DADOS!$H$20:$Q$20</c:f>
              <c:numCache>
                <c:formatCode>General</c:formatCode>
                <c:ptCount val="10"/>
                <c:pt idx="0" formatCode="0%">
                  <c:v>0.02</c:v>
                </c:pt>
                <c:pt idx="1">
                  <c:v>-0.33333333333333326</c:v>
                </c:pt>
                <c:pt idx="2" formatCode="0%">
                  <c:v>-0.33333333333333326</c:v>
                </c:pt>
                <c:pt idx="3" formatCode="0%">
                  <c:v>1.75</c:v>
                </c:pt>
                <c:pt idx="4" formatCode="0%">
                  <c:v>4.5454545454545192E-2</c:v>
                </c:pt>
                <c:pt idx="5" formatCode="0%">
                  <c:v>0.30434782608695654</c:v>
                </c:pt>
                <c:pt idx="6" formatCode="0%">
                  <c:v>0.33333333333333326</c:v>
                </c:pt>
                <c:pt idx="7" formatCode="0%">
                  <c:v>-0.5</c:v>
                </c:pt>
                <c:pt idx="8" formatCode="0%">
                  <c:v>0.5</c:v>
                </c:pt>
                <c:pt idx="9" formatCode="0%">
                  <c:v>5.666666666666667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B4-40A7-B52E-5704139246F9}"/>
            </c:ext>
          </c:extLst>
        </c:ser>
        <c:ser>
          <c:idx val="2"/>
          <c:order val="2"/>
          <c:tx>
            <c:strRef>
              <c:f>DADOS!$F$21:$G$21</c:f>
              <c:strCache>
                <c:ptCount val="2"/>
                <c:pt idx="0">
                  <c:v>RPU Usuários Pagantes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DADOS!$H$18:$Q$18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f>DADOS!$H$21:$Q$21</c:f>
              <c:numCache>
                <c:formatCode>General</c:formatCode>
                <c:ptCount val="10"/>
                <c:pt idx="0" formatCode="0%">
                  <c:v>0.01</c:v>
                </c:pt>
                <c:pt idx="1">
                  <c:v>-0.12447152449639398</c:v>
                </c:pt>
                <c:pt idx="2" formatCode="0%">
                  <c:v>-0.12447152449639398</c:v>
                </c:pt>
                <c:pt idx="3" formatCode="0%">
                  <c:v>-0.28405056099985804</c:v>
                </c:pt>
                <c:pt idx="4" formatCode="0%">
                  <c:v>1.9837333862349205E-4</c:v>
                </c:pt>
                <c:pt idx="5" formatCode="0%">
                  <c:v>1.1503371677905605E-2</c:v>
                </c:pt>
                <c:pt idx="6" formatCode="0%">
                  <c:v>1.9607843137254832E-2</c:v>
                </c:pt>
                <c:pt idx="7" formatCode="0%">
                  <c:v>1.9230769230769162E-2</c:v>
                </c:pt>
                <c:pt idx="8" formatCode="0%">
                  <c:v>9.4339622641509413E-2</c:v>
                </c:pt>
                <c:pt idx="9" formatCode="0%">
                  <c:v>-0.48275862068965514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B4-40A7-B52E-5704139246F9}"/>
            </c:ext>
          </c:extLst>
        </c:ser>
        <c:ser>
          <c:idx val="3"/>
          <c:order val="3"/>
          <c:tx>
            <c:strRef>
              <c:f>DADOS!$F$22:$G$22</c:f>
              <c:strCache>
                <c:ptCount val="2"/>
                <c:pt idx="0">
                  <c:v>LTV Usuários Gratuitos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DADOS!$H$18:$Q$18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f>DADOS!$H$22:$Q$22</c:f>
              <c:numCache>
                <c:formatCode>General</c:formatCode>
                <c:ptCount val="10"/>
                <c:pt idx="0" formatCode="0%">
                  <c:v>0.03</c:v>
                </c:pt>
                <c:pt idx="1">
                  <c:v>8.1967213114754189E-2</c:v>
                </c:pt>
                <c:pt idx="2" formatCode="0%">
                  <c:v>8.1967213114754189E-2</c:v>
                </c:pt>
                <c:pt idx="3" formatCode="0%">
                  <c:v>-7.5757575757575801E-2</c:v>
                </c:pt>
                <c:pt idx="4" formatCode="0%">
                  <c:v>2.0491803278688492E-2</c:v>
                </c:pt>
                <c:pt idx="5" formatCode="0%">
                  <c:v>4.4176706827309342E-2</c:v>
                </c:pt>
                <c:pt idx="6" formatCode="0%">
                  <c:v>3.8461538461538547E-2</c:v>
                </c:pt>
                <c:pt idx="7" formatCode="0%">
                  <c:v>3.7037037037036979E-2</c:v>
                </c:pt>
                <c:pt idx="8" formatCode="0%">
                  <c:v>-7.1428571428571397E-2</c:v>
                </c:pt>
                <c:pt idx="9" formatCode="0%">
                  <c:v>0.53846153846153855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B4-40A7-B52E-5704139246F9}"/>
            </c:ext>
          </c:extLst>
        </c:ser>
        <c:ser>
          <c:idx val="4"/>
          <c:order val="4"/>
          <c:tx>
            <c:strRef>
              <c:f>DADOS!$F$23:$G$23</c:f>
              <c:strCache>
                <c:ptCount val="2"/>
                <c:pt idx="0">
                  <c:v>LTV Usuários Pagantes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DADOS!$H$18:$Q$18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f>DADOS!$H$23:$Q$23</c:f>
              <c:numCache>
                <c:formatCode>General</c:formatCode>
                <c:ptCount val="10"/>
                <c:pt idx="0" formatCode="0%">
                  <c:v>0.04</c:v>
                </c:pt>
                <c:pt idx="1">
                  <c:v>1.9895548371051675E-3</c:v>
                </c:pt>
                <c:pt idx="2" formatCode="0%">
                  <c:v>1.9895548371051675E-3</c:v>
                </c:pt>
                <c:pt idx="3" formatCode="0%">
                  <c:v>-0.89575577066269541</c:v>
                </c:pt>
                <c:pt idx="4" formatCode="0%">
                  <c:v>0.16666666666666674</c:v>
                </c:pt>
                <c:pt idx="5" formatCode="0%">
                  <c:v>0.22448979591836715</c:v>
                </c:pt>
                <c:pt idx="6" formatCode="0%">
                  <c:v>0.33333333333333326</c:v>
                </c:pt>
                <c:pt idx="7" formatCode="0%">
                  <c:v>0.25</c:v>
                </c:pt>
                <c:pt idx="8" formatCode="0%">
                  <c:v>-9.9999999999999978E-2</c:v>
                </c:pt>
                <c:pt idx="9" formatCode="0%">
                  <c:v>4.5555555555555554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B4-40A7-B52E-570413924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9752383"/>
        <c:axId val="1674629679"/>
      </c:lineChart>
      <c:catAx>
        <c:axId val="12597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629679"/>
        <c:crosses val="autoZero"/>
        <c:auto val="1"/>
        <c:lblAlgn val="ctr"/>
        <c:lblOffset val="100"/>
        <c:noMultiLvlLbl val="0"/>
      </c:catAx>
      <c:valAx>
        <c:axId val="167462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97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11</xdr:row>
      <xdr:rowOff>185736</xdr:rowOff>
    </xdr:from>
    <xdr:to>
      <xdr:col>23</xdr:col>
      <xdr:colOff>609599</xdr:colOff>
      <xdr:row>32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0720BA-C0B6-A126-5CF0-1B2AFD0AE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257175</xdr:colOff>
      <xdr:row>44</xdr:row>
      <xdr:rowOff>176212</xdr:rowOff>
    </xdr:from>
    <xdr:to>
      <xdr:col>16</xdr:col>
      <xdr:colOff>9525</xdr:colOff>
      <xdr:row>67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ED87604-CFFD-365B-1D09-130290C0A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400051</xdr:colOff>
      <xdr:row>44</xdr:row>
      <xdr:rowOff>161925</xdr:rowOff>
    </xdr:from>
    <xdr:to>
      <xdr:col>24</xdr:col>
      <xdr:colOff>95251</xdr:colOff>
      <xdr:row>67</xdr:row>
      <xdr:rowOff>76200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D9D4DC26-4956-413F-B83A-F0C86D3AA9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581025</xdr:colOff>
      <xdr:row>44</xdr:row>
      <xdr:rowOff>152400</xdr:rowOff>
    </xdr:from>
    <xdr:to>
      <xdr:col>7</xdr:col>
      <xdr:colOff>333375</xdr:colOff>
      <xdr:row>67</xdr:row>
      <xdr:rowOff>71438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A84872A2-48FA-47B3-8CA4-6C19E06E2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</xdr:colOff>
      <xdr:row>98</xdr:row>
      <xdr:rowOff>23812</xdr:rowOff>
    </xdr:from>
    <xdr:to>
      <xdr:col>24</xdr:col>
      <xdr:colOff>171450</xdr:colOff>
      <xdr:row>118</xdr:row>
      <xdr:rowOff>79375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A20A06E4-7AEB-B8E5-1081-886C3DCA9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585390</xdr:colOff>
      <xdr:row>68</xdr:row>
      <xdr:rowOff>176212</xdr:rowOff>
    </xdr:from>
    <xdr:to>
      <xdr:col>24</xdr:col>
      <xdr:colOff>119062</xdr:colOff>
      <xdr:row>83</xdr:row>
      <xdr:rowOff>91678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AA829170-FEF7-AE5A-8D88-43ED2410D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601264</xdr:colOff>
      <xdr:row>144</xdr:row>
      <xdr:rowOff>136524</xdr:rowOff>
    </xdr:from>
    <xdr:to>
      <xdr:col>27</xdr:col>
      <xdr:colOff>19843</xdr:colOff>
      <xdr:row>164</xdr:row>
      <xdr:rowOff>188514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C5790B11-919D-355E-30B1-9B0BD537E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170"/>
  <sheetViews>
    <sheetView showGridLines="0" tabSelected="1" topLeftCell="A50" zoomScale="85" zoomScaleNormal="85" workbookViewId="0">
      <selection activeCell="K179" sqref="K179"/>
    </sheetView>
  </sheetViews>
  <sheetFormatPr defaultRowHeight="15" x14ac:dyDescent="0.25"/>
  <cols>
    <col min="1" max="1" width="9.140625" style="2"/>
    <col min="2" max="2" width="10.7109375" style="2" customWidth="1"/>
    <col min="3" max="3" width="9.140625" style="2"/>
    <col min="4" max="4" width="9.7109375" style="2" bestFit="1" customWidth="1"/>
    <col min="5" max="5" width="9.140625" style="2"/>
    <col min="6" max="6" width="9.7109375" style="2" bestFit="1" customWidth="1"/>
    <col min="7" max="16384" width="9.140625" style="2"/>
  </cols>
  <sheetData>
    <row r="2" spans="2:24" x14ac:dyDescent="0.25">
      <c r="B2" s="1" t="s">
        <v>0</v>
      </c>
      <c r="C2" s="1"/>
      <c r="D2" s="1"/>
      <c r="E2" s="1"/>
      <c r="F2" s="1"/>
      <c r="G2" s="1"/>
      <c r="H2" s="1"/>
    </row>
    <row r="3" spans="2:24" x14ac:dyDescent="0.25">
      <c r="B3" s="1"/>
      <c r="C3" s="1"/>
      <c r="D3" s="1"/>
      <c r="E3" s="1"/>
      <c r="F3" s="1"/>
      <c r="G3" s="1"/>
      <c r="H3" s="1"/>
    </row>
    <row r="4" spans="2:24" x14ac:dyDescent="0.25">
      <c r="B4" s="1"/>
      <c r="C4" s="1"/>
      <c r="D4" s="1"/>
      <c r="E4" s="1"/>
      <c r="F4" s="1"/>
      <c r="G4" s="1"/>
      <c r="H4" s="1"/>
    </row>
    <row r="6" spans="2:24" x14ac:dyDescent="0.25">
      <c r="B6" s="3">
        <f>DADOS!B1/DADOS!B4</f>
        <v>0.2</v>
      </c>
      <c r="C6" s="4"/>
      <c r="D6" s="4"/>
      <c r="E6" s="4"/>
      <c r="F6" s="4"/>
      <c r="H6" s="3">
        <f>(DADOS!B1-DADOS!B3)/DADOS!B4</f>
        <v>0.1</v>
      </c>
      <c r="I6" s="4"/>
      <c r="J6" s="4"/>
      <c r="K6" s="4"/>
      <c r="L6" s="4"/>
      <c r="N6" s="3">
        <v>600.13</v>
      </c>
      <c r="O6" s="4"/>
      <c r="P6" s="4"/>
      <c r="Q6" s="4"/>
      <c r="R6" s="4"/>
      <c r="T6" s="3">
        <v>600.13</v>
      </c>
      <c r="U6" s="4"/>
      <c r="V6" s="4"/>
      <c r="W6" s="4"/>
      <c r="X6" s="4"/>
    </row>
    <row r="7" spans="2:24" x14ac:dyDescent="0.25">
      <c r="B7" s="4"/>
      <c r="C7" s="4"/>
      <c r="D7" s="4"/>
      <c r="E7" s="4"/>
      <c r="F7" s="4"/>
      <c r="H7" s="4"/>
      <c r="I7" s="4"/>
      <c r="J7" s="4"/>
      <c r="K7" s="4"/>
      <c r="L7" s="4"/>
      <c r="N7" s="4"/>
      <c r="O7" s="4"/>
      <c r="P7" s="4"/>
      <c r="Q7" s="4"/>
      <c r="R7" s="4"/>
      <c r="T7" s="4"/>
      <c r="U7" s="4"/>
      <c r="V7" s="4"/>
      <c r="W7" s="4"/>
      <c r="X7" s="4"/>
    </row>
    <row r="8" spans="2:24" x14ac:dyDescent="0.25">
      <c r="B8" s="4"/>
      <c r="C8" s="4"/>
      <c r="D8" s="4"/>
      <c r="E8" s="4"/>
      <c r="F8" s="4"/>
      <c r="H8" s="4"/>
      <c r="I8" s="4"/>
      <c r="J8" s="4"/>
      <c r="K8" s="4"/>
      <c r="L8" s="4"/>
      <c r="N8" s="4"/>
      <c r="O8" s="4"/>
      <c r="P8" s="4"/>
      <c r="Q8" s="4"/>
      <c r="R8" s="4"/>
      <c r="T8" s="4"/>
      <c r="U8" s="4"/>
      <c r="V8" s="4"/>
      <c r="W8" s="4"/>
      <c r="X8" s="4"/>
    </row>
    <row r="9" spans="2:24" x14ac:dyDescent="0.25">
      <c r="B9" s="4"/>
      <c r="C9" s="4"/>
      <c r="D9" s="4"/>
      <c r="E9" s="4"/>
      <c r="F9" s="4"/>
      <c r="H9" s="4"/>
      <c r="I9" s="4"/>
      <c r="J9" s="4"/>
      <c r="K9" s="4"/>
      <c r="L9" s="4"/>
      <c r="N9" s="4"/>
      <c r="O9" s="4"/>
      <c r="P9" s="4"/>
      <c r="Q9" s="4"/>
      <c r="R9" s="4"/>
      <c r="T9" s="4"/>
      <c r="U9" s="4"/>
      <c r="V9" s="4"/>
      <c r="W9" s="4"/>
      <c r="X9" s="4"/>
    </row>
    <row r="10" spans="2:24" x14ac:dyDescent="0.25">
      <c r="B10" s="5" t="s">
        <v>1</v>
      </c>
      <c r="C10" s="5"/>
      <c r="D10" s="5"/>
      <c r="E10" s="5"/>
      <c r="F10" s="5"/>
      <c r="H10" s="5" t="s">
        <v>2</v>
      </c>
      <c r="I10" s="5"/>
      <c r="J10" s="5"/>
      <c r="K10" s="5"/>
      <c r="L10" s="5"/>
      <c r="N10" s="5" t="s">
        <v>3</v>
      </c>
      <c r="O10" s="5"/>
      <c r="P10" s="5"/>
      <c r="Q10" s="5"/>
      <c r="R10" s="5"/>
      <c r="T10" s="5" t="s">
        <v>4</v>
      </c>
      <c r="U10" s="5"/>
      <c r="V10" s="5"/>
      <c r="W10" s="5"/>
      <c r="X10" s="5"/>
    </row>
    <row r="11" spans="2:24" x14ac:dyDescent="0.25">
      <c r="B11" s="5"/>
      <c r="C11" s="5"/>
      <c r="D11" s="5"/>
      <c r="E11" s="5"/>
      <c r="F11" s="5"/>
      <c r="H11" s="5"/>
      <c r="I11" s="5"/>
      <c r="J11" s="5"/>
      <c r="K11" s="5"/>
      <c r="L11" s="5"/>
      <c r="N11" s="5"/>
      <c r="O11" s="5"/>
      <c r="P11" s="5"/>
      <c r="Q11" s="5"/>
      <c r="R11" s="5"/>
      <c r="T11" s="5"/>
      <c r="U11" s="5"/>
      <c r="V11" s="5"/>
      <c r="W11" s="5"/>
      <c r="X11" s="5"/>
    </row>
    <row r="35" spans="2:18" x14ac:dyDescent="0.25">
      <c r="B35" s="1" t="s">
        <v>10</v>
      </c>
      <c r="C35" s="1"/>
      <c r="D35" s="1"/>
      <c r="E35" s="1"/>
      <c r="F35" s="1"/>
      <c r="G35" s="1"/>
      <c r="H35" s="1"/>
    </row>
    <row r="36" spans="2:18" x14ac:dyDescent="0.25">
      <c r="B36" s="1"/>
      <c r="C36" s="1"/>
      <c r="D36" s="1"/>
      <c r="E36" s="1"/>
      <c r="F36" s="1"/>
      <c r="G36" s="1"/>
      <c r="H36" s="1"/>
    </row>
    <row r="37" spans="2:18" x14ac:dyDescent="0.25">
      <c r="B37" s="1"/>
      <c r="C37" s="1"/>
      <c r="D37" s="1"/>
      <c r="E37" s="1"/>
      <c r="F37" s="1"/>
      <c r="G37" s="1"/>
      <c r="H37" s="1"/>
    </row>
    <row r="39" spans="2:18" ht="15" customHeight="1" x14ac:dyDescent="0.25">
      <c r="B39" s="6">
        <f>(DADOS!B4+DADOS!B5)/DADOS!B6</f>
        <v>5.666666666666667</v>
      </c>
      <c r="C39" s="6"/>
      <c r="D39" s="6"/>
      <c r="E39" s="6"/>
      <c r="F39" s="6"/>
      <c r="H39" s="6">
        <f>DADOS!B4/(DADOS!B4+DADOS!B5)</f>
        <v>0.98039215686274506</v>
      </c>
      <c r="I39" s="6"/>
      <c r="J39" s="6"/>
      <c r="K39" s="6"/>
      <c r="L39" s="6"/>
      <c r="N39" s="6">
        <f>DADOS!B2/DADOS!B6</f>
        <v>5.5555555555555554</v>
      </c>
      <c r="O39" s="6"/>
      <c r="P39" s="6"/>
      <c r="Q39" s="6"/>
      <c r="R39" s="6"/>
    </row>
    <row r="40" spans="2:18" ht="15" customHeight="1" x14ac:dyDescent="0.25">
      <c r="B40" s="6"/>
      <c r="C40" s="6"/>
      <c r="D40" s="6"/>
      <c r="E40" s="6"/>
      <c r="F40" s="6"/>
      <c r="H40" s="6"/>
      <c r="I40" s="6"/>
      <c r="J40" s="6"/>
      <c r="K40" s="6"/>
      <c r="L40" s="6"/>
      <c r="N40" s="6"/>
      <c r="O40" s="6"/>
      <c r="P40" s="6"/>
      <c r="Q40" s="6"/>
      <c r="R40" s="6"/>
    </row>
    <row r="41" spans="2:18" ht="15" customHeight="1" x14ac:dyDescent="0.25">
      <c r="B41" s="6"/>
      <c r="C41" s="6"/>
      <c r="D41" s="6"/>
      <c r="E41" s="6"/>
      <c r="F41" s="6"/>
      <c r="H41" s="6"/>
      <c r="I41" s="6"/>
      <c r="J41" s="6"/>
      <c r="K41" s="6"/>
      <c r="L41" s="6"/>
      <c r="N41" s="6"/>
      <c r="O41" s="6"/>
      <c r="P41" s="6"/>
      <c r="Q41" s="6"/>
      <c r="R41" s="6"/>
    </row>
    <row r="42" spans="2:18" ht="15" customHeight="1" x14ac:dyDescent="0.25">
      <c r="B42" s="6"/>
      <c r="C42" s="6"/>
      <c r="D42" s="6"/>
      <c r="E42" s="6"/>
      <c r="F42" s="6"/>
      <c r="H42" s="6"/>
      <c r="I42" s="6"/>
      <c r="J42" s="6"/>
      <c r="K42" s="6"/>
      <c r="L42" s="6"/>
      <c r="N42" s="6"/>
      <c r="O42" s="6"/>
      <c r="P42" s="6"/>
      <c r="Q42" s="6"/>
      <c r="R42" s="6"/>
    </row>
    <row r="43" spans="2:18" ht="15" customHeight="1" x14ac:dyDescent="0.25">
      <c r="B43" s="5" t="s">
        <v>12</v>
      </c>
      <c r="C43" s="5"/>
      <c r="D43" s="5"/>
      <c r="E43" s="5"/>
      <c r="F43" s="5"/>
      <c r="H43" s="5" t="s">
        <v>13</v>
      </c>
      <c r="I43" s="5"/>
      <c r="J43" s="5"/>
      <c r="K43" s="5"/>
      <c r="L43" s="5"/>
      <c r="N43" s="5" t="s">
        <v>14</v>
      </c>
      <c r="O43" s="5"/>
      <c r="P43" s="5"/>
      <c r="Q43" s="5"/>
      <c r="R43" s="5"/>
    </row>
    <row r="44" spans="2:18" ht="15" customHeight="1" x14ac:dyDescent="0.25">
      <c r="B44" s="5"/>
      <c r="C44" s="5"/>
      <c r="D44" s="5"/>
      <c r="E44" s="5"/>
      <c r="F44" s="5"/>
      <c r="H44" s="5"/>
      <c r="I44" s="5"/>
      <c r="J44" s="5"/>
      <c r="K44" s="5"/>
      <c r="L44" s="5"/>
      <c r="N44" s="5"/>
      <c r="O44" s="5"/>
      <c r="P44" s="5"/>
      <c r="Q44" s="5"/>
      <c r="R44" s="5"/>
    </row>
    <row r="71" ht="15" customHeight="1" x14ac:dyDescent="0.25"/>
    <row r="72" ht="15" customHeight="1" x14ac:dyDescent="0.25"/>
    <row r="73" ht="15" customHeight="1" x14ac:dyDescent="0.25"/>
    <row r="86" spans="2:18" ht="18.75" customHeight="1" x14ac:dyDescent="0.25">
      <c r="B86" s="1" t="s">
        <v>15</v>
      </c>
      <c r="C86" s="1"/>
      <c r="D86" s="1"/>
      <c r="E86" s="1"/>
      <c r="F86" s="1"/>
      <c r="G86" s="1"/>
      <c r="H86" s="1"/>
    </row>
    <row r="87" spans="2:18" ht="18.75" customHeight="1" x14ac:dyDescent="0.25">
      <c r="B87" s="1"/>
      <c r="C87" s="1"/>
      <c r="D87" s="1"/>
      <c r="E87" s="1"/>
      <c r="F87" s="1"/>
      <c r="G87" s="1"/>
      <c r="H87" s="1"/>
    </row>
    <row r="88" spans="2:18" ht="18.75" customHeight="1" x14ac:dyDescent="0.25">
      <c r="B88" s="1"/>
      <c r="C88" s="1"/>
      <c r="D88" s="1"/>
      <c r="E88" s="1"/>
      <c r="F88" s="1"/>
      <c r="G88" s="1"/>
      <c r="H88" s="1"/>
    </row>
    <row r="90" spans="2:18" x14ac:dyDescent="0.25">
      <c r="B90" s="8">
        <v>496000</v>
      </c>
      <c r="C90" s="8"/>
      <c r="D90" s="8"/>
      <c r="E90" s="8"/>
      <c r="F90" s="8"/>
      <c r="H90" s="8">
        <v>489632</v>
      </c>
      <c r="I90" s="8"/>
      <c r="J90" s="8"/>
      <c r="K90" s="8"/>
      <c r="L90" s="8"/>
      <c r="N90" s="8">
        <v>6368</v>
      </c>
      <c r="O90" s="8"/>
      <c r="P90" s="8"/>
      <c r="Q90" s="8"/>
      <c r="R90" s="8"/>
    </row>
    <row r="91" spans="2:18" x14ac:dyDescent="0.25">
      <c r="B91" s="8"/>
      <c r="C91" s="8"/>
      <c r="D91" s="8"/>
      <c r="E91" s="8"/>
      <c r="F91" s="8"/>
      <c r="H91" s="8"/>
      <c r="I91" s="8"/>
      <c r="J91" s="8"/>
      <c r="K91" s="8"/>
      <c r="L91" s="8"/>
      <c r="N91" s="8"/>
      <c r="O91" s="8"/>
      <c r="P91" s="8"/>
      <c r="Q91" s="8"/>
      <c r="R91" s="8"/>
    </row>
    <row r="92" spans="2:18" x14ac:dyDescent="0.25">
      <c r="B92" s="8"/>
      <c r="C92" s="8"/>
      <c r="D92" s="8"/>
      <c r="E92" s="8"/>
      <c r="F92" s="8"/>
      <c r="H92" s="8"/>
      <c r="I92" s="8"/>
      <c r="J92" s="8"/>
      <c r="K92" s="8"/>
      <c r="L92" s="8"/>
      <c r="N92" s="8"/>
      <c r="O92" s="8"/>
      <c r="P92" s="8"/>
      <c r="Q92" s="8"/>
      <c r="R92" s="8"/>
    </row>
    <row r="93" spans="2:18" x14ac:dyDescent="0.25">
      <c r="B93" s="8"/>
      <c r="C93" s="8"/>
      <c r="D93" s="8"/>
      <c r="E93" s="8"/>
      <c r="F93" s="8"/>
      <c r="H93" s="8"/>
      <c r="I93" s="8"/>
      <c r="J93" s="8"/>
      <c r="K93" s="8"/>
      <c r="L93" s="8"/>
      <c r="N93" s="8"/>
      <c r="O93" s="8"/>
      <c r="P93" s="8"/>
      <c r="Q93" s="8"/>
      <c r="R93" s="8"/>
    </row>
    <row r="94" spans="2:18" x14ac:dyDescent="0.25">
      <c r="B94" s="5" t="s">
        <v>23</v>
      </c>
      <c r="C94" s="5"/>
      <c r="D94" s="5"/>
      <c r="E94" s="5"/>
      <c r="F94" s="5"/>
      <c r="H94" s="5" t="s">
        <v>24</v>
      </c>
      <c r="I94" s="5"/>
      <c r="J94" s="5"/>
      <c r="K94" s="5"/>
      <c r="L94" s="5"/>
      <c r="N94" s="5" t="s">
        <v>25</v>
      </c>
      <c r="O94" s="5"/>
      <c r="P94" s="5"/>
      <c r="Q94" s="5"/>
      <c r="R94" s="5"/>
    </row>
    <row r="95" spans="2:18" x14ac:dyDescent="0.25">
      <c r="B95" s="5"/>
      <c r="C95" s="5"/>
      <c r="D95" s="5"/>
      <c r="E95" s="5"/>
      <c r="F95" s="5"/>
      <c r="H95" s="5"/>
      <c r="I95" s="5"/>
      <c r="J95" s="5"/>
      <c r="K95" s="5"/>
      <c r="L95" s="5"/>
      <c r="N95" s="5"/>
      <c r="O95" s="5"/>
      <c r="P95" s="5"/>
      <c r="Q95" s="5"/>
      <c r="R95" s="5"/>
    </row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spans="2:24" ht="15" customHeight="1" x14ac:dyDescent="0.25"/>
    <row r="114" spans="2:24" ht="15" customHeight="1" x14ac:dyDescent="0.25"/>
    <row r="115" spans="2:24" ht="15" customHeight="1" x14ac:dyDescent="0.25"/>
    <row r="116" spans="2:24" ht="15" customHeight="1" x14ac:dyDescent="0.25"/>
    <row r="117" spans="2:24" ht="15" customHeight="1" x14ac:dyDescent="0.25"/>
    <row r="118" spans="2:24" ht="15" customHeight="1" x14ac:dyDescent="0.25"/>
    <row r="119" spans="2:24" ht="15" customHeight="1" x14ac:dyDescent="0.25"/>
    <row r="120" spans="2:24" ht="15" customHeight="1" x14ac:dyDescent="0.25"/>
    <row r="121" spans="2:24" ht="15" customHeight="1" x14ac:dyDescent="0.25">
      <c r="B121" s="1" t="s">
        <v>32</v>
      </c>
      <c r="C121" s="1"/>
      <c r="D121" s="1"/>
      <c r="E121" s="1"/>
      <c r="F121" s="1"/>
      <c r="G121" s="1"/>
      <c r="H121" s="1"/>
    </row>
    <row r="122" spans="2:24" ht="18.75" customHeight="1" x14ac:dyDescent="0.25">
      <c r="B122" s="1"/>
      <c r="C122" s="1"/>
      <c r="D122" s="1"/>
      <c r="E122" s="1"/>
      <c r="F122" s="1"/>
      <c r="G122" s="1"/>
      <c r="H122" s="1"/>
    </row>
    <row r="123" spans="2:24" ht="15" customHeight="1" x14ac:dyDescent="0.25">
      <c r="B123" s="1"/>
      <c r="C123" s="1"/>
      <c r="D123" s="1"/>
      <c r="E123" s="1"/>
      <c r="F123" s="1"/>
      <c r="G123" s="1"/>
      <c r="H123" s="1"/>
    </row>
    <row r="124" spans="2:24" ht="15" customHeight="1" x14ac:dyDescent="0.25"/>
    <row r="125" spans="2:24" ht="15" customHeight="1" x14ac:dyDescent="0.25">
      <c r="B125" s="8">
        <f>DADOS!B9/DADOS!D9</f>
        <v>20</v>
      </c>
      <c r="C125" s="8"/>
      <c r="D125" s="8"/>
      <c r="E125" s="8"/>
      <c r="F125" s="8"/>
      <c r="K125" s="8">
        <f>DADOS!B10/DADOS!C10</f>
        <v>4.282655246252677</v>
      </c>
      <c r="L125" s="8"/>
      <c r="M125" s="8"/>
      <c r="N125" s="8"/>
      <c r="O125" s="8"/>
      <c r="T125" s="8">
        <f>DADOS!B11/DADOS!C11</f>
        <v>242.42424242424244</v>
      </c>
      <c r="U125" s="8"/>
      <c r="V125" s="8"/>
      <c r="W125" s="8"/>
      <c r="X125" s="8"/>
    </row>
    <row r="126" spans="2:24" ht="15" customHeight="1" x14ac:dyDescent="0.25">
      <c r="B126" s="8"/>
      <c r="C126" s="8"/>
      <c r="D126" s="8"/>
      <c r="E126" s="8"/>
      <c r="F126" s="8"/>
      <c r="K126" s="8"/>
      <c r="L126" s="8"/>
      <c r="M126" s="8"/>
      <c r="N126" s="8"/>
      <c r="O126" s="8"/>
      <c r="T126" s="8"/>
      <c r="U126" s="8"/>
      <c r="V126" s="8"/>
      <c r="W126" s="8"/>
      <c r="X126" s="8"/>
    </row>
    <row r="127" spans="2:24" ht="15" customHeight="1" x14ac:dyDescent="0.25">
      <c r="B127" s="8"/>
      <c r="C127" s="8"/>
      <c r="D127" s="8"/>
      <c r="E127" s="8"/>
      <c r="F127" s="8"/>
      <c r="K127" s="8"/>
      <c r="L127" s="8"/>
      <c r="M127" s="8"/>
      <c r="N127" s="8"/>
      <c r="O127" s="8"/>
      <c r="T127" s="8"/>
      <c r="U127" s="8"/>
      <c r="V127" s="8"/>
      <c r="W127" s="8"/>
      <c r="X127" s="8"/>
    </row>
    <row r="128" spans="2:24" ht="15" customHeight="1" x14ac:dyDescent="0.25">
      <c r="B128" s="8"/>
      <c r="C128" s="8"/>
      <c r="D128" s="8"/>
      <c r="E128" s="8"/>
      <c r="F128" s="8"/>
      <c r="K128" s="8"/>
      <c r="L128" s="8"/>
      <c r="M128" s="8"/>
      <c r="N128" s="8"/>
      <c r="O128" s="8"/>
      <c r="T128" s="8"/>
      <c r="U128" s="8"/>
      <c r="V128" s="8"/>
      <c r="W128" s="8"/>
      <c r="X128" s="8"/>
    </row>
    <row r="129" spans="2:27" ht="15.75" customHeight="1" x14ac:dyDescent="0.25">
      <c r="B129" s="5" t="s">
        <v>33</v>
      </c>
      <c r="C129" s="5"/>
      <c r="D129" s="5"/>
      <c r="E129" s="5"/>
      <c r="F129" s="5"/>
      <c r="K129" s="5" t="s">
        <v>34</v>
      </c>
      <c r="L129" s="5"/>
      <c r="M129" s="5"/>
      <c r="N129" s="5"/>
      <c r="O129" s="5"/>
      <c r="T129" s="5" t="s">
        <v>35</v>
      </c>
      <c r="U129" s="5"/>
      <c r="V129" s="5"/>
      <c r="W129" s="5"/>
      <c r="X129" s="5"/>
    </row>
    <row r="130" spans="2:27" ht="15.75" customHeight="1" x14ac:dyDescent="0.25">
      <c r="B130" s="5"/>
      <c r="C130" s="5"/>
      <c r="D130" s="5"/>
      <c r="E130" s="5"/>
      <c r="F130" s="5"/>
      <c r="K130" s="5"/>
      <c r="L130" s="5"/>
      <c r="M130" s="5"/>
      <c r="N130" s="5"/>
      <c r="O130" s="5"/>
      <c r="T130" s="5"/>
      <c r="U130" s="5"/>
      <c r="V130" s="5"/>
      <c r="W130" s="5"/>
      <c r="X130" s="5"/>
    </row>
    <row r="132" spans="2:27" x14ac:dyDescent="0.25">
      <c r="F132" s="8">
        <v>81.180000000000007</v>
      </c>
      <c r="G132" s="8"/>
      <c r="H132" s="8"/>
      <c r="I132" s="8"/>
      <c r="J132" s="8"/>
      <c r="P132" s="8">
        <v>422.1</v>
      </c>
      <c r="Q132" s="8"/>
      <c r="R132" s="8"/>
      <c r="S132" s="8"/>
      <c r="T132" s="8"/>
    </row>
    <row r="133" spans="2:27" x14ac:dyDescent="0.25">
      <c r="F133" s="8"/>
      <c r="G133" s="8"/>
      <c r="H133" s="8"/>
      <c r="I133" s="8"/>
      <c r="J133" s="8"/>
      <c r="P133" s="8"/>
      <c r="Q133" s="8"/>
      <c r="R133" s="8"/>
      <c r="S133" s="8"/>
      <c r="T133" s="8"/>
    </row>
    <row r="134" spans="2:27" x14ac:dyDescent="0.25">
      <c r="F134" s="8"/>
      <c r="G134" s="8"/>
      <c r="H134" s="8"/>
      <c r="I134" s="8"/>
      <c r="J134" s="8"/>
      <c r="P134" s="8"/>
      <c r="Q134" s="8"/>
      <c r="R134" s="8"/>
      <c r="S134" s="8"/>
      <c r="T134" s="8"/>
    </row>
    <row r="135" spans="2:27" x14ac:dyDescent="0.25">
      <c r="F135" s="8"/>
      <c r="G135" s="8"/>
      <c r="H135" s="8"/>
      <c r="I135" s="8"/>
      <c r="J135" s="8"/>
      <c r="P135" s="8"/>
      <c r="Q135" s="8"/>
      <c r="R135" s="8"/>
      <c r="S135" s="8"/>
      <c r="T135" s="8"/>
    </row>
    <row r="136" spans="2:27" ht="15.75" customHeight="1" x14ac:dyDescent="0.25">
      <c r="F136" s="5" t="s">
        <v>39</v>
      </c>
      <c r="G136" s="5"/>
      <c r="H136" s="5"/>
      <c r="I136" s="5"/>
      <c r="J136" s="5"/>
      <c r="P136" s="5" t="s">
        <v>40</v>
      </c>
      <c r="Q136" s="5"/>
      <c r="R136" s="5"/>
      <c r="S136" s="5"/>
      <c r="T136" s="5"/>
    </row>
    <row r="137" spans="2:27" ht="15.75" customHeight="1" x14ac:dyDescent="0.25">
      <c r="F137" s="5"/>
      <c r="G137" s="5"/>
      <c r="H137" s="5"/>
      <c r="I137" s="5"/>
      <c r="J137" s="5"/>
      <c r="P137" s="5"/>
      <c r="Q137" s="5"/>
      <c r="R137" s="5"/>
      <c r="S137" s="5"/>
      <c r="T137" s="5"/>
    </row>
    <row r="139" spans="2:27" x14ac:dyDescent="0.25">
      <c r="B139" s="10"/>
      <c r="C139" s="10"/>
      <c r="D139" s="10" t="s">
        <v>17</v>
      </c>
      <c r="E139" s="10" t="s">
        <v>48</v>
      </c>
      <c r="F139" s="10" t="s">
        <v>18</v>
      </c>
      <c r="G139" s="10" t="s">
        <v>48</v>
      </c>
      <c r="H139" s="10" t="s">
        <v>19</v>
      </c>
      <c r="I139" s="10" t="s">
        <v>48</v>
      </c>
      <c r="J139" s="10" t="s">
        <v>20</v>
      </c>
      <c r="K139" s="10" t="s">
        <v>48</v>
      </c>
      <c r="L139" s="10" t="s">
        <v>21</v>
      </c>
      <c r="M139" s="10" t="s">
        <v>48</v>
      </c>
      <c r="N139" s="10" t="s">
        <v>22</v>
      </c>
      <c r="O139" s="10" t="s">
        <v>48</v>
      </c>
      <c r="P139" s="10" t="s">
        <v>26</v>
      </c>
      <c r="Q139" s="10" t="s">
        <v>48</v>
      </c>
      <c r="R139" s="10" t="s">
        <v>27</v>
      </c>
      <c r="S139" s="10" t="s">
        <v>48</v>
      </c>
      <c r="T139" s="10" t="s">
        <v>28</v>
      </c>
      <c r="U139" s="10" t="s">
        <v>48</v>
      </c>
      <c r="V139" s="10" t="s">
        <v>29</v>
      </c>
      <c r="W139" s="10" t="s">
        <v>48</v>
      </c>
      <c r="X139" s="10" t="s">
        <v>30</v>
      </c>
      <c r="Y139" s="10" t="s">
        <v>48</v>
      </c>
      <c r="Z139" s="10" t="s">
        <v>31</v>
      </c>
      <c r="AA139" s="10" t="s">
        <v>48</v>
      </c>
    </row>
    <row r="140" spans="2:27" x14ac:dyDescent="0.25">
      <c r="B140" s="11" t="s">
        <v>33</v>
      </c>
      <c r="C140" s="11"/>
      <c r="D140" s="12">
        <v>5</v>
      </c>
      <c r="E140" s="13">
        <v>0.02</v>
      </c>
      <c r="F140" s="12">
        <v>3</v>
      </c>
      <c r="G140" s="14">
        <f>(1-(F140/D140))*(-1)</f>
        <v>-0.4</v>
      </c>
      <c r="H140" s="10">
        <v>6</v>
      </c>
      <c r="I140" s="13">
        <f>(1-(H140/F140))*(-1)</f>
        <v>1</v>
      </c>
      <c r="J140" s="10">
        <v>6.1</v>
      </c>
      <c r="K140" s="13">
        <f>(1-(J140/H140))*(-1)</f>
        <v>1.6666666666666607E-2</v>
      </c>
      <c r="L140" s="10">
        <v>7</v>
      </c>
      <c r="M140" s="13">
        <f>(1-(L140/J140))*(-1)</f>
        <v>0.14754098360655754</v>
      </c>
      <c r="N140" s="10">
        <v>8</v>
      </c>
      <c r="O140" s="13">
        <f>(1-(N140/L140))*(-1)</f>
        <v>0.14285714285714279</v>
      </c>
      <c r="P140" s="10">
        <v>6</v>
      </c>
      <c r="Q140" s="14">
        <f>(1-(P140/N140))*(-1)</f>
        <v>-0.25</v>
      </c>
      <c r="R140" s="10">
        <v>4</v>
      </c>
      <c r="S140" s="14">
        <f>(1-(R140/P140))*(-1)</f>
        <v>-0.33333333333333337</v>
      </c>
      <c r="T140" s="10">
        <v>10</v>
      </c>
      <c r="U140" s="13">
        <f>(1-(T140/R140))*(-1)</f>
        <v>1.5</v>
      </c>
      <c r="V140" s="10"/>
      <c r="W140" s="14">
        <f>(1-(V140/T140))*(-1)</f>
        <v>-1</v>
      </c>
      <c r="X140" s="10"/>
      <c r="Y140" s="14" t="e">
        <f>(1-(X140/V140))*(-1)</f>
        <v>#DIV/0!</v>
      </c>
      <c r="Z140" s="10"/>
      <c r="AA140" s="14" t="e">
        <f>(1-(Z140/X140))*(-1)</f>
        <v>#DIV/0!</v>
      </c>
    </row>
    <row r="141" spans="2:27" x14ac:dyDescent="0.25">
      <c r="B141" s="11" t="s">
        <v>34</v>
      </c>
      <c r="C141" s="11"/>
      <c r="D141" s="12">
        <v>1.2</v>
      </c>
      <c r="E141" s="13">
        <v>0.02</v>
      </c>
      <c r="F141" s="12">
        <v>0.8</v>
      </c>
      <c r="G141" s="14">
        <f t="shared" ref="G141:AA145" si="0">(1-(F141/D141))*(-1)</f>
        <v>-0.33333333333333326</v>
      </c>
      <c r="H141" s="10">
        <v>2.2000000000000002</v>
      </c>
      <c r="I141" s="13">
        <f t="shared" si="0"/>
        <v>1.75</v>
      </c>
      <c r="J141" s="10">
        <v>2.2999999999999998</v>
      </c>
      <c r="K141" s="13">
        <f t="shared" si="0"/>
        <v>4.5454545454545192E-2</v>
      </c>
      <c r="L141" s="10">
        <v>3</v>
      </c>
      <c r="M141" s="13">
        <f t="shared" si="0"/>
        <v>0.30434782608695654</v>
      </c>
      <c r="N141" s="10">
        <v>4</v>
      </c>
      <c r="O141" s="13">
        <f t="shared" si="0"/>
        <v>0.33333333333333326</v>
      </c>
      <c r="P141" s="10">
        <v>2</v>
      </c>
      <c r="Q141" s="14">
        <f t="shared" si="0"/>
        <v>-0.5</v>
      </c>
      <c r="R141" s="10">
        <v>3</v>
      </c>
      <c r="S141" s="13">
        <f t="shared" si="0"/>
        <v>0.5</v>
      </c>
      <c r="T141" s="10">
        <v>20</v>
      </c>
      <c r="U141" s="13">
        <f t="shared" si="0"/>
        <v>5.666666666666667</v>
      </c>
      <c r="V141" s="10"/>
      <c r="W141" s="14">
        <f t="shared" si="0"/>
        <v>-1</v>
      </c>
      <c r="X141" s="10"/>
      <c r="Y141" s="14" t="e">
        <f t="shared" si="0"/>
        <v>#DIV/0!</v>
      </c>
      <c r="Z141" s="10"/>
      <c r="AA141" s="14" t="e">
        <f t="shared" si="0"/>
        <v>#DIV/0!</v>
      </c>
    </row>
    <row r="142" spans="2:27" x14ac:dyDescent="0.25">
      <c r="B142" s="11" t="s">
        <v>35</v>
      </c>
      <c r="C142" s="11"/>
      <c r="D142" s="12">
        <v>80.42</v>
      </c>
      <c r="E142" s="13">
        <v>0.01</v>
      </c>
      <c r="F142" s="12">
        <v>70.41</v>
      </c>
      <c r="G142" s="14">
        <f t="shared" si="0"/>
        <v>-0.12447152449639398</v>
      </c>
      <c r="H142" s="10">
        <v>50.41</v>
      </c>
      <c r="I142" s="15">
        <f t="shared" si="0"/>
        <v>-0.28405056099985804</v>
      </c>
      <c r="J142" s="10">
        <v>50.42</v>
      </c>
      <c r="K142" s="13">
        <f t="shared" si="0"/>
        <v>1.9837333862349205E-4</v>
      </c>
      <c r="L142" s="10">
        <v>51</v>
      </c>
      <c r="M142" s="13">
        <f t="shared" si="0"/>
        <v>1.1503371677905605E-2</v>
      </c>
      <c r="N142" s="10">
        <v>52</v>
      </c>
      <c r="O142" s="13">
        <f t="shared" si="0"/>
        <v>1.9607843137254832E-2</v>
      </c>
      <c r="P142" s="10">
        <v>53</v>
      </c>
      <c r="Q142" s="13">
        <f t="shared" si="0"/>
        <v>1.9230769230769162E-2</v>
      </c>
      <c r="R142" s="10">
        <v>58</v>
      </c>
      <c r="S142" s="13">
        <f t="shared" si="0"/>
        <v>9.4339622641509413E-2</v>
      </c>
      <c r="T142" s="10">
        <v>30</v>
      </c>
      <c r="U142" s="14">
        <f t="shared" si="0"/>
        <v>-0.48275862068965514</v>
      </c>
      <c r="V142" s="10"/>
      <c r="W142" s="14">
        <f t="shared" si="0"/>
        <v>-1</v>
      </c>
      <c r="X142" s="10"/>
      <c r="Y142" s="14" t="e">
        <f t="shared" si="0"/>
        <v>#DIV/0!</v>
      </c>
      <c r="Z142" s="10"/>
      <c r="AA142" s="14" t="e">
        <f t="shared" si="0"/>
        <v>#DIV/0!</v>
      </c>
    </row>
    <row r="143" spans="2:27" x14ac:dyDescent="0.25">
      <c r="B143" s="11" t="s">
        <v>39</v>
      </c>
      <c r="C143" s="11"/>
      <c r="D143" s="12">
        <v>24.4</v>
      </c>
      <c r="E143" s="13">
        <v>0.03</v>
      </c>
      <c r="F143" s="12">
        <v>26.4</v>
      </c>
      <c r="G143" s="13">
        <f t="shared" si="0"/>
        <v>8.1967213114754189E-2</v>
      </c>
      <c r="H143" s="10">
        <v>24.4</v>
      </c>
      <c r="I143" s="15">
        <f t="shared" si="0"/>
        <v>-7.5757575757575801E-2</v>
      </c>
      <c r="J143" s="10">
        <v>24.9</v>
      </c>
      <c r="K143" s="13">
        <f t="shared" si="0"/>
        <v>2.0491803278688492E-2</v>
      </c>
      <c r="L143" s="10">
        <v>26</v>
      </c>
      <c r="M143" s="13">
        <f t="shared" si="0"/>
        <v>4.4176706827309342E-2</v>
      </c>
      <c r="N143" s="10">
        <v>27</v>
      </c>
      <c r="O143" s="13">
        <f t="shared" si="0"/>
        <v>3.8461538461538547E-2</v>
      </c>
      <c r="P143" s="10">
        <v>28</v>
      </c>
      <c r="Q143" s="13">
        <f t="shared" si="0"/>
        <v>3.7037037037036979E-2</v>
      </c>
      <c r="R143" s="10">
        <v>26</v>
      </c>
      <c r="S143" s="15">
        <f t="shared" si="0"/>
        <v>-7.1428571428571397E-2</v>
      </c>
      <c r="T143" s="10">
        <v>40</v>
      </c>
      <c r="U143" s="13">
        <f t="shared" si="0"/>
        <v>0.53846153846153855</v>
      </c>
      <c r="V143" s="10"/>
      <c r="W143" s="13">
        <f t="shared" si="0"/>
        <v>-1</v>
      </c>
      <c r="X143" s="10"/>
      <c r="Y143" s="13" t="e">
        <f t="shared" si="0"/>
        <v>#DIV/0!</v>
      </c>
      <c r="Z143" s="10"/>
      <c r="AA143" s="13" t="e">
        <f t="shared" si="0"/>
        <v>#DIV/0!</v>
      </c>
    </row>
    <row r="144" spans="2:27" x14ac:dyDescent="0.25">
      <c r="B144" s="11" t="s">
        <v>40</v>
      </c>
      <c r="C144" s="11"/>
      <c r="D144" s="12">
        <v>40.21</v>
      </c>
      <c r="E144" s="13">
        <v>0.04</v>
      </c>
      <c r="F144" s="12">
        <v>40.29</v>
      </c>
      <c r="G144" s="13">
        <f t="shared" si="0"/>
        <v>1.9895548371051675E-3</v>
      </c>
      <c r="H144" s="10">
        <v>4.2</v>
      </c>
      <c r="I144" s="15">
        <f t="shared" si="0"/>
        <v>-0.89575577066269541</v>
      </c>
      <c r="J144" s="10">
        <v>4.9000000000000004</v>
      </c>
      <c r="K144" s="13">
        <f t="shared" si="0"/>
        <v>0.16666666666666674</v>
      </c>
      <c r="L144" s="10">
        <v>6</v>
      </c>
      <c r="M144" s="13">
        <f t="shared" si="0"/>
        <v>0.22448979591836715</v>
      </c>
      <c r="N144" s="10">
        <v>8</v>
      </c>
      <c r="O144" s="13">
        <f t="shared" si="0"/>
        <v>0.33333333333333326</v>
      </c>
      <c r="P144" s="10">
        <v>10</v>
      </c>
      <c r="Q144" s="13">
        <f t="shared" si="0"/>
        <v>0.25</v>
      </c>
      <c r="R144" s="10">
        <v>9</v>
      </c>
      <c r="S144" s="15">
        <f t="shared" si="0"/>
        <v>-9.9999999999999978E-2</v>
      </c>
      <c r="T144" s="10">
        <v>50</v>
      </c>
      <c r="U144" s="13">
        <f t="shared" si="0"/>
        <v>4.5555555555555554</v>
      </c>
      <c r="V144" s="10"/>
      <c r="W144" s="13">
        <f t="shared" si="0"/>
        <v>-1</v>
      </c>
      <c r="X144" s="10"/>
      <c r="Y144" s="13" t="e">
        <f t="shared" si="0"/>
        <v>#DIV/0!</v>
      </c>
      <c r="Z144" s="10"/>
      <c r="AA144" s="13" t="e">
        <f t="shared" si="0"/>
        <v>#DIV/0!</v>
      </c>
    </row>
    <row r="145" spans="5:5" x14ac:dyDescent="0.25">
      <c r="E145" s="9"/>
    </row>
    <row r="168" spans="2:8" x14ac:dyDescent="0.25">
      <c r="B168" s="1"/>
      <c r="C168" s="1"/>
      <c r="D168" s="1"/>
      <c r="E168" s="1"/>
      <c r="F168" s="1"/>
      <c r="G168" s="1"/>
      <c r="H168" s="1"/>
    </row>
    <row r="169" spans="2:8" x14ac:dyDescent="0.25">
      <c r="B169" s="1"/>
      <c r="C169" s="1"/>
      <c r="D169" s="1"/>
      <c r="E169" s="1"/>
      <c r="F169" s="1"/>
      <c r="G169" s="1"/>
      <c r="H169" s="1"/>
    </row>
    <row r="170" spans="2:8" x14ac:dyDescent="0.25">
      <c r="B170" s="1"/>
      <c r="C170" s="1"/>
      <c r="D170" s="1"/>
      <c r="E170" s="1"/>
      <c r="F170" s="1"/>
      <c r="G170" s="1"/>
      <c r="H170" s="1"/>
    </row>
  </sheetData>
  <mergeCells count="40">
    <mergeCell ref="B168:H170"/>
    <mergeCell ref="N94:R95"/>
    <mergeCell ref="B140:C140"/>
    <mergeCell ref="B141:C141"/>
    <mergeCell ref="B142:C142"/>
    <mergeCell ref="B143:C143"/>
    <mergeCell ref="B144:C144"/>
    <mergeCell ref="F132:J135"/>
    <mergeCell ref="F136:J137"/>
    <mergeCell ref="P132:T135"/>
    <mergeCell ref="P136:T137"/>
    <mergeCell ref="B121:H123"/>
    <mergeCell ref="B90:F93"/>
    <mergeCell ref="B94:F95"/>
    <mergeCell ref="H90:L93"/>
    <mergeCell ref="H94:L95"/>
    <mergeCell ref="N90:R93"/>
    <mergeCell ref="B86:H88"/>
    <mergeCell ref="B129:F130"/>
    <mergeCell ref="B125:F128"/>
    <mergeCell ref="K125:O128"/>
    <mergeCell ref="K129:O130"/>
    <mergeCell ref="T125:X128"/>
    <mergeCell ref="T129:X130"/>
    <mergeCell ref="T6:X9"/>
    <mergeCell ref="T10:X11"/>
    <mergeCell ref="B35:H37"/>
    <mergeCell ref="B39:F42"/>
    <mergeCell ref="B43:F44"/>
    <mergeCell ref="H39:L42"/>
    <mergeCell ref="H43:L44"/>
    <mergeCell ref="N39:R42"/>
    <mergeCell ref="N43:R44"/>
    <mergeCell ref="B2:H4"/>
    <mergeCell ref="B6:F9"/>
    <mergeCell ref="B10:F11"/>
    <mergeCell ref="H6:L9"/>
    <mergeCell ref="H10:L11"/>
    <mergeCell ref="N6:R9"/>
    <mergeCell ref="N10:R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76D1-533A-4374-8350-1DB0C037582E}">
  <dimension ref="A1:AA24"/>
  <sheetViews>
    <sheetView workbookViewId="0">
      <selection activeCell="I24" sqref="I24"/>
    </sheetView>
  </sheetViews>
  <sheetFormatPr defaultRowHeight="15" x14ac:dyDescent="0.25"/>
  <cols>
    <col min="1" max="1" width="22.5703125" bestFit="1" customWidth="1"/>
    <col min="2" max="2" width="15.85546875" style="7" bestFit="1" customWidth="1"/>
    <col min="3" max="3" width="16" bestFit="1" customWidth="1"/>
    <col min="7" max="9" width="14.28515625" bestFit="1" customWidth="1"/>
    <col min="10" max="10" width="15.85546875" bestFit="1" customWidth="1"/>
    <col min="11" max="15" width="14.28515625" bestFit="1" customWidth="1"/>
    <col min="16" max="16" width="15.85546875" bestFit="1" customWidth="1"/>
    <col min="17" max="18" width="14.28515625" bestFit="1" customWidth="1"/>
  </cols>
  <sheetData>
    <row r="1" spans="1:27" x14ac:dyDescent="0.25">
      <c r="A1" t="s">
        <v>6</v>
      </c>
      <c r="B1" s="7">
        <v>1000000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</row>
    <row r="2" spans="1:27" x14ac:dyDescent="0.25">
      <c r="A2" t="s">
        <v>7</v>
      </c>
      <c r="B2" s="7">
        <v>5000000</v>
      </c>
      <c r="F2" t="s">
        <v>23</v>
      </c>
      <c r="G2" s="7">
        <v>850000</v>
      </c>
      <c r="H2" s="7">
        <v>935000</v>
      </c>
      <c r="I2" s="7">
        <v>800000</v>
      </c>
      <c r="J2" s="7">
        <v>1000000</v>
      </c>
      <c r="K2" s="7">
        <v>235000</v>
      </c>
      <c r="L2" s="7">
        <v>600000</v>
      </c>
      <c r="M2" s="7">
        <v>799000</v>
      </c>
      <c r="N2" s="7">
        <v>589006</v>
      </c>
      <c r="O2" s="7">
        <v>496000</v>
      </c>
      <c r="P2" s="7">
        <v>1232000</v>
      </c>
      <c r="Q2" s="7">
        <v>988600</v>
      </c>
      <c r="R2" s="7">
        <v>888888</v>
      </c>
    </row>
    <row r="3" spans="1:27" x14ac:dyDescent="0.25">
      <c r="A3" t="s">
        <v>5</v>
      </c>
      <c r="B3" s="7">
        <v>500000</v>
      </c>
      <c r="F3" t="s">
        <v>24</v>
      </c>
      <c r="G3" s="7">
        <v>100000</v>
      </c>
      <c r="H3" s="7">
        <v>50000</v>
      </c>
      <c r="I3" s="7">
        <v>100000</v>
      </c>
      <c r="J3" s="7">
        <v>600000</v>
      </c>
      <c r="K3" s="7">
        <v>543000</v>
      </c>
      <c r="L3" s="7">
        <v>45000</v>
      </c>
      <c r="M3" s="7">
        <v>102000</v>
      </c>
      <c r="N3" s="7">
        <v>150326</v>
      </c>
      <c r="O3" s="7">
        <v>489632</v>
      </c>
      <c r="P3" s="7">
        <v>400000</v>
      </c>
      <c r="Q3" s="7">
        <v>450000</v>
      </c>
      <c r="R3" s="7">
        <v>500000</v>
      </c>
    </row>
    <row r="4" spans="1:27" x14ac:dyDescent="0.25">
      <c r="A4" t="s">
        <v>8</v>
      </c>
      <c r="B4" s="7">
        <v>5000000</v>
      </c>
      <c r="F4" t="s">
        <v>25</v>
      </c>
      <c r="G4" s="7">
        <f>G2-G3</f>
        <v>750000</v>
      </c>
      <c r="H4" s="7">
        <f t="shared" ref="H4:R4" si="0">H2-H3</f>
        <v>885000</v>
      </c>
      <c r="I4" s="7">
        <f t="shared" si="0"/>
        <v>700000</v>
      </c>
      <c r="J4" s="7">
        <f t="shared" si="0"/>
        <v>400000</v>
      </c>
      <c r="K4" s="7">
        <f t="shared" si="0"/>
        <v>-308000</v>
      </c>
      <c r="L4" s="7">
        <f t="shared" si="0"/>
        <v>555000</v>
      </c>
      <c r="M4" s="7">
        <f t="shared" si="0"/>
        <v>697000</v>
      </c>
      <c r="N4" s="7">
        <f t="shared" si="0"/>
        <v>438680</v>
      </c>
      <c r="O4" s="7">
        <f t="shared" si="0"/>
        <v>6368</v>
      </c>
      <c r="P4" s="7">
        <f t="shared" si="0"/>
        <v>832000</v>
      </c>
      <c r="Q4" s="7">
        <f t="shared" si="0"/>
        <v>538600</v>
      </c>
      <c r="R4" s="7">
        <f t="shared" si="0"/>
        <v>388888</v>
      </c>
    </row>
    <row r="5" spans="1:27" x14ac:dyDescent="0.25">
      <c r="A5" t="s">
        <v>9</v>
      </c>
      <c r="B5" s="7">
        <v>100000</v>
      </c>
    </row>
    <row r="6" spans="1:27" x14ac:dyDescent="0.25">
      <c r="A6" t="s">
        <v>11</v>
      </c>
      <c r="B6" s="7">
        <f>SUM(B1:B2)-SUM(B4:B5)</f>
        <v>900000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 t="s">
        <v>26</v>
      </c>
      <c r="N6" t="s">
        <v>27</v>
      </c>
      <c r="O6" t="s">
        <v>28</v>
      </c>
      <c r="P6" t="s">
        <v>29</v>
      </c>
      <c r="Q6" t="s">
        <v>30</v>
      </c>
      <c r="R6" t="s">
        <v>31</v>
      </c>
    </row>
    <row r="7" spans="1:27" x14ac:dyDescent="0.25">
      <c r="F7" t="s">
        <v>41</v>
      </c>
      <c r="G7">
        <v>100</v>
      </c>
      <c r="H7">
        <v>50</v>
      </c>
      <c r="I7">
        <v>60</v>
      </c>
      <c r="J7">
        <v>80</v>
      </c>
      <c r="K7">
        <v>200</v>
      </c>
      <c r="L7">
        <v>260</v>
      </c>
      <c r="M7">
        <v>420</v>
      </c>
      <c r="N7">
        <v>480</v>
      </c>
      <c r="O7">
        <v>557</v>
      </c>
      <c r="P7">
        <v>600</v>
      </c>
      <c r="Q7">
        <v>700</v>
      </c>
      <c r="R7">
        <v>800</v>
      </c>
    </row>
    <row r="8" spans="1:27" x14ac:dyDescent="0.25">
      <c r="F8" t="s">
        <v>42</v>
      </c>
      <c r="G8">
        <v>20</v>
      </c>
      <c r="H8">
        <v>10</v>
      </c>
      <c r="I8">
        <v>20</v>
      </c>
      <c r="J8">
        <v>40</v>
      </c>
      <c r="K8">
        <v>70</v>
      </c>
      <c r="L8">
        <v>90</v>
      </c>
      <c r="M8">
        <v>120</v>
      </c>
      <c r="N8">
        <v>130</v>
      </c>
      <c r="O8">
        <v>98</v>
      </c>
      <c r="P8">
        <v>120</v>
      </c>
      <c r="Q8">
        <v>120</v>
      </c>
      <c r="R8">
        <v>150</v>
      </c>
    </row>
    <row r="9" spans="1:27" x14ac:dyDescent="0.25">
      <c r="A9" t="s">
        <v>36</v>
      </c>
      <c r="B9" s="7">
        <f>B10+B11</f>
        <v>1000000</v>
      </c>
      <c r="C9" t="s">
        <v>37</v>
      </c>
      <c r="D9">
        <v>50000</v>
      </c>
      <c r="F9" t="s">
        <v>43</v>
      </c>
      <c r="G9">
        <v>100</v>
      </c>
      <c r="H9">
        <v>120</v>
      </c>
      <c r="I9">
        <v>90</v>
      </c>
      <c r="J9">
        <v>60</v>
      </c>
      <c r="K9">
        <v>160</v>
      </c>
      <c r="L9">
        <v>250</v>
      </c>
      <c r="M9">
        <v>380</v>
      </c>
      <c r="N9">
        <v>470</v>
      </c>
      <c r="O9">
        <v>556</v>
      </c>
      <c r="P9">
        <v>600</v>
      </c>
      <c r="Q9">
        <v>600</v>
      </c>
      <c r="R9">
        <v>700</v>
      </c>
    </row>
    <row r="10" spans="1:27" x14ac:dyDescent="0.25">
      <c r="A10" t="s">
        <v>38</v>
      </c>
      <c r="B10" s="7">
        <v>200000</v>
      </c>
      <c r="C10">
        <v>46700</v>
      </c>
    </row>
    <row r="11" spans="1:27" x14ac:dyDescent="0.25">
      <c r="A11" t="s">
        <v>35</v>
      </c>
      <c r="B11" s="7">
        <v>800000</v>
      </c>
      <c r="C11">
        <v>3300</v>
      </c>
      <c r="F11" s="10"/>
      <c r="G11" s="10"/>
      <c r="H11" s="10" t="s">
        <v>17</v>
      </c>
      <c r="J11" s="10" t="s">
        <v>18</v>
      </c>
      <c r="L11" s="10" t="s">
        <v>19</v>
      </c>
      <c r="N11" s="10" t="s">
        <v>20</v>
      </c>
      <c r="P11" s="10" t="s">
        <v>21</v>
      </c>
      <c r="R11" s="10" t="s">
        <v>22</v>
      </c>
      <c r="T11" s="10" t="s">
        <v>26</v>
      </c>
      <c r="V11" s="10" t="s">
        <v>27</v>
      </c>
      <c r="X11" s="10" t="s">
        <v>28</v>
      </c>
      <c r="Z11" s="10" t="s">
        <v>29</v>
      </c>
      <c r="AA11" s="10" t="s">
        <v>48</v>
      </c>
    </row>
    <row r="12" spans="1:27" x14ac:dyDescent="0.25">
      <c r="F12" s="11" t="s">
        <v>33</v>
      </c>
      <c r="G12" s="11"/>
      <c r="H12" s="12">
        <v>5</v>
      </c>
      <c r="J12" s="12">
        <v>3</v>
      </c>
      <c r="L12" s="10">
        <v>6</v>
      </c>
      <c r="N12" s="10">
        <v>6.1</v>
      </c>
      <c r="P12" s="10">
        <v>7</v>
      </c>
      <c r="R12" s="10">
        <v>8</v>
      </c>
      <c r="T12" s="10">
        <v>6</v>
      </c>
      <c r="V12" s="10">
        <v>4</v>
      </c>
      <c r="X12" s="10">
        <v>10</v>
      </c>
      <c r="Z12" s="10"/>
      <c r="AA12" s="14">
        <f>(1-(Z12/X12))*(-1)</f>
        <v>-1</v>
      </c>
    </row>
    <row r="13" spans="1:27" x14ac:dyDescent="0.25">
      <c r="F13" s="11" t="s">
        <v>34</v>
      </c>
      <c r="G13" s="11"/>
      <c r="H13" s="12">
        <v>1.2</v>
      </c>
      <c r="J13" s="12">
        <v>0.8</v>
      </c>
      <c r="L13" s="10">
        <v>2.2000000000000002</v>
      </c>
      <c r="N13" s="10">
        <v>2.2999999999999998</v>
      </c>
      <c r="P13" s="10">
        <v>3</v>
      </c>
      <c r="R13" s="10">
        <v>4</v>
      </c>
      <c r="T13" s="10">
        <v>2</v>
      </c>
      <c r="V13" s="10">
        <v>3</v>
      </c>
      <c r="X13" s="10">
        <v>20</v>
      </c>
      <c r="Z13" s="10"/>
      <c r="AA13" s="14">
        <f t="shared" ref="AA13:AA16" si="1">(1-(Z13/X13))*(-1)</f>
        <v>-1</v>
      </c>
    </row>
    <row r="14" spans="1:27" x14ac:dyDescent="0.25">
      <c r="F14" s="11" t="s">
        <v>35</v>
      </c>
      <c r="G14" s="11"/>
      <c r="H14" s="12">
        <v>80.42</v>
      </c>
      <c r="J14" s="12">
        <v>70.41</v>
      </c>
      <c r="L14" s="10">
        <v>50.41</v>
      </c>
      <c r="N14" s="10">
        <v>50.42</v>
      </c>
      <c r="P14" s="10">
        <v>51</v>
      </c>
      <c r="R14" s="10">
        <v>52</v>
      </c>
      <c r="T14" s="10">
        <v>53</v>
      </c>
      <c r="V14" s="10">
        <v>58</v>
      </c>
      <c r="X14" s="10">
        <v>30</v>
      </c>
      <c r="Z14" s="10"/>
      <c r="AA14" s="14">
        <f t="shared" si="1"/>
        <v>-1</v>
      </c>
    </row>
    <row r="15" spans="1:27" x14ac:dyDescent="0.25">
      <c r="F15" s="11" t="s">
        <v>39</v>
      </c>
      <c r="G15" s="11"/>
      <c r="H15" s="12">
        <v>24.4</v>
      </c>
      <c r="J15" s="12">
        <v>26.4</v>
      </c>
      <c r="L15" s="10">
        <v>24.4</v>
      </c>
      <c r="N15" s="10">
        <v>24.9</v>
      </c>
      <c r="P15" s="10">
        <v>26</v>
      </c>
      <c r="R15" s="10">
        <v>27</v>
      </c>
      <c r="T15" s="10">
        <v>28</v>
      </c>
      <c r="V15" s="10">
        <v>26</v>
      </c>
      <c r="X15" s="10">
        <v>40</v>
      </c>
      <c r="Z15" s="10"/>
      <c r="AA15" s="13">
        <f t="shared" si="1"/>
        <v>-1</v>
      </c>
    </row>
    <row r="16" spans="1:27" x14ac:dyDescent="0.25">
      <c r="F16" s="11" t="s">
        <v>40</v>
      </c>
      <c r="G16" s="11"/>
      <c r="H16" s="12">
        <v>40.21</v>
      </c>
      <c r="J16" s="12">
        <v>40.29</v>
      </c>
      <c r="L16" s="10">
        <v>4.2</v>
      </c>
      <c r="N16" s="10">
        <v>4.9000000000000004</v>
      </c>
      <c r="P16" s="10">
        <v>6</v>
      </c>
      <c r="R16" s="10">
        <v>8</v>
      </c>
      <c r="T16" s="10">
        <v>10</v>
      </c>
      <c r="V16" s="10">
        <v>9</v>
      </c>
      <c r="X16" s="10">
        <v>50</v>
      </c>
      <c r="Z16" s="10"/>
      <c r="AA16" s="13">
        <f t="shared" si="1"/>
        <v>-1</v>
      </c>
    </row>
    <row r="18" spans="6:17" x14ac:dyDescent="0.25">
      <c r="H18" s="10" t="s">
        <v>17</v>
      </c>
      <c r="I18" s="10" t="s">
        <v>18</v>
      </c>
      <c r="J18" s="10" t="s">
        <v>19</v>
      </c>
      <c r="K18" s="10" t="s">
        <v>20</v>
      </c>
      <c r="L18" s="10" t="s">
        <v>21</v>
      </c>
      <c r="M18" s="10" t="s">
        <v>22</v>
      </c>
      <c r="N18" s="10" t="s">
        <v>26</v>
      </c>
      <c r="O18" s="10" t="s">
        <v>27</v>
      </c>
      <c r="P18" s="10" t="s">
        <v>28</v>
      </c>
      <c r="Q18" s="10" t="s">
        <v>29</v>
      </c>
    </row>
    <row r="19" spans="6:17" x14ac:dyDescent="0.25">
      <c r="F19" s="11" t="s">
        <v>33</v>
      </c>
      <c r="G19" s="11"/>
      <c r="H19" s="13">
        <v>0.02</v>
      </c>
      <c r="I19">
        <v>-0.4</v>
      </c>
      <c r="J19" s="14">
        <f>(1-(J12/H12))*(-1)</f>
        <v>-0.4</v>
      </c>
      <c r="K19" s="13">
        <f>(1-(L12/J12))*(-1)</f>
        <v>1</v>
      </c>
      <c r="L19" s="13">
        <f>(1-(N12/L12))*(-1)</f>
        <v>1.6666666666666607E-2</v>
      </c>
      <c r="M19" s="13">
        <f>(1-(P12/N12))*(-1)</f>
        <v>0.14754098360655754</v>
      </c>
      <c r="N19" s="13">
        <f>(1-(R12/P12))*(-1)</f>
        <v>0.14285714285714279</v>
      </c>
      <c r="O19" s="14">
        <f>(1-(T12/R12))*(-1)</f>
        <v>-0.25</v>
      </c>
      <c r="P19" s="14">
        <f>(1-(V12/T12))*(-1)</f>
        <v>-0.33333333333333337</v>
      </c>
      <c r="Q19" s="13">
        <f>(1-(X12/V12))*(-1)</f>
        <v>1.5</v>
      </c>
    </row>
    <row r="20" spans="6:17" x14ac:dyDescent="0.25">
      <c r="F20" s="11" t="s">
        <v>34</v>
      </c>
      <c r="G20" s="11"/>
      <c r="H20" s="13">
        <v>0.02</v>
      </c>
      <c r="I20">
        <v>-0.33333333333333326</v>
      </c>
      <c r="J20" s="14">
        <f>(1-(J13/H13))*(-1)</f>
        <v>-0.33333333333333326</v>
      </c>
      <c r="K20" s="13">
        <f>(1-(L13/J13))*(-1)</f>
        <v>1.75</v>
      </c>
      <c r="L20" s="13">
        <f>(1-(N13/L13))*(-1)</f>
        <v>4.5454545454545192E-2</v>
      </c>
      <c r="M20" s="13">
        <f>(1-(P13/N13))*(-1)</f>
        <v>0.30434782608695654</v>
      </c>
      <c r="N20" s="13">
        <f>(1-(R13/P13))*(-1)</f>
        <v>0.33333333333333326</v>
      </c>
      <c r="O20" s="14">
        <f>(1-(T13/R13))*(-1)</f>
        <v>-0.5</v>
      </c>
      <c r="P20" s="13">
        <f>(1-(V13/T13))*(-1)</f>
        <v>0.5</v>
      </c>
      <c r="Q20" s="13">
        <f>(1-(X13/V13))*(-1)</f>
        <v>5.666666666666667</v>
      </c>
    </row>
    <row r="21" spans="6:17" x14ac:dyDescent="0.25">
      <c r="F21" s="11" t="s">
        <v>35</v>
      </c>
      <c r="G21" s="11"/>
      <c r="H21" s="13">
        <v>0.01</v>
      </c>
      <c r="I21">
        <v>-0.12447152449639398</v>
      </c>
      <c r="J21" s="14">
        <f>(1-(J14/H14))*(-1)</f>
        <v>-0.12447152449639398</v>
      </c>
      <c r="K21" s="15">
        <f>(1-(L14/J14))*(-1)</f>
        <v>-0.28405056099985804</v>
      </c>
      <c r="L21" s="13">
        <f>(1-(N14/L14))*(-1)</f>
        <v>1.9837333862349205E-4</v>
      </c>
      <c r="M21" s="13">
        <f>(1-(P14/N14))*(-1)</f>
        <v>1.1503371677905605E-2</v>
      </c>
      <c r="N21" s="13">
        <f>(1-(R14/P14))*(-1)</f>
        <v>1.9607843137254832E-2</v>
      </c>
      <c r="O21" s="13">
        <f>(1-(T14/R14))*(-1)</f>
        <v>1.9230769230769162E-2</v>
      </c>
      <c r="P21" s="13">
        <f>(1-(V14/T14))*(-1)</f>
        <v>9.4339622641509413E-2</v>
      </c>
      <c r="Q21" s="14">
        <f>(1-(X14/V14))*(-1)</f>
        <v>-0.48275862068965514</v>
      </c>
    </row>
    <row r="22" spans="6:17" x14ac:dyDescent="0.25">
      <c r="F22" s="11" t="s">
        <v>39</v>
      </c>
      <c r="G22" s="11"/>
      <c r="H22" s="13">
        <v>0.03</v>
      </c>
      <c r="I22">
        <v>8.1967213114754189E-2</v>
      </c>
      <c r="J22" s="13">
        <f>(1-(J15/H15))*(-1)</f>
        <v>8.1967213114754189E-2</v>
      </c>
      <c r="K22" s="15">
        <f>(1-(L15/J15))*(-1)</f>
        <v>-7.5757575757575801E-2</v>
      </c>
      <c r="L22" s="13">
        <f>(1-(N15/L15))*(-1)</f>
        <v>2.0491803278688492E-2</v>
      </c>
      <c r="M22" s="13">
        <f>(1-(P15/N15))*(-1)</f>
        <v>4.4176706827309342E-2</v>
      </c>
      <c r="N22" s="13">
        <f>(1-(R15/P15))*(-1)</f>
        <v>3.8461538461538547E-2</v>
      </c>
      <c r="O22" s="13">
        <f>(1-(T15/R15))*(-1)</f>
        <v>3.7037037037036979E-2</v>
      </c>
      <c r="P22" s="15">
        <f>(1-(V15/T15))*(-1)</f>
        <v>-7.1428571428571397E-2</v>
      </c>
      <c r="Q22" s="13">
        <f>(1-(X15/V15))*(-1)</f>
        <v>0.53846153846153855</v>
      </c>
    </row>
    <row r="23" spans="6:17" x14ac:dyDescent="0.25">
      <c r="F23" s="11" t="s">
        <v>40</v>
      </c>
      <c r="G23" s="11"/>
      <c r="H23" s="13">
        <v>0.04</v>
      </c>
      <c r="I23">
        <v>1.9895548371051675E-3</v>
      </c>
      <c r="J23" s="13">
        <f>(1-(J16/H16))*(-1)</f>
        <v>1.9895548371051675E-3</v>
      </c>
      <c r="K23" s="15">
        <f>(1-(L16/J16))*(-1)</f>
        <v>-0.89575577066269541</v>
      </c>
      <c r="L23" s="13">
        <f>(1-(N16/L16))*(-1)</f>
        <v>0.16666666666666674</v>
      </c>
      <c r="M23" s="13">
        <f>(1-(P16/N16))*(-1)</f>
        <v>0.22448979591836715</v>
      </c>
      <c r="N23" s="13">
        <f>(1-(R16/P16))*(-1)</f>
        <v>0.33333333333333326</v>
      </c>
      <c r="O23" s="13">
        <f>(1-(T16/R16))*(-1)</f>
        <v>0.25</v>
      </c>
      <c r="P23" s="15">
        <f>(1-(V16/T16))*(-1)</f>
        <v>-9.9999999999999978E-2</v>
      </c>
      <c r="Q23" s="13">
        <f>(1-(X16/V16))*(-1)</f>
        <v>4.5555555555555554</v>
      </c>
    </row>
    <row r="24" spans="6:17" x14ac:dyDescent="0.25">
      <c r="I24" s="16"/>
    </row>
  </sheetData>
  <mergeCells count="10">
    <mergeCell ref="F20:G20"/>
    <mergeCell ref="F21:G21"/>
    <mergeCell ref="F22:G22"/>
    <mergeCell ref="F23:G23"/>
    <mergeCell ref="F12:G12"/>
    <mergeCell ref="F13:G13"/>
    <mergeCell ref="F14:G14"/>
    <mergeCell ref="F15:G15"/>
    <mergeCell ref="F16:G16"/>
    <mergeCell ref="F19:G19"/>
  </mergeCells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DASHBOARD-CFO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Bernado</dc:creator>
  <cp:lastModifiedBy>Bernardo Seijas</cp:lastModifiedBy>
  <dcterms:created xsi:type="dcterms:W3CDTF">2015-06-05T18:19:34Z</dcterms:created>
  <dcterms:modified xsi:type="dcterms:W3CDTF">2025-09-14T23:48:25Z</dcterms:modified>
</cp:coreProperties>
</file>