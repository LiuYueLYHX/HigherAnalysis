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5ED20B-FC78-4081-AAA2-E27A9A9DA9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-CFO" sheetId="1" r:id="rId1"/>
    <sheet name="Planilha1" sheetId="3" r:id="rId2"/>
    <sheet name="DADOS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342" i="1" l="1"/>
  <c r="CD342" i="1"/>
  <c r="CB342" i="1"/>
  <c r="BZ342" i="1"/>
  <c r="BX342" i="1"/>
  <c r="BV342" i="1"/>
  <c r="BT342" i="1"/>
  <c r="BR342" i="1"/>
  <c r="BP342" i="1"/>
  <c r="BN342" i="1"/>
  <c r="BL342" i="1"/>
  <c r="CF341" i="1"/>
  <c r="CD341" i="1"/>
  <c r="CB341" i="1"/>
  <c r="BZ341" i="1"/>
  <c r="BX341" i="1"/>
  <c r="BV341" i="1"/>
  <c r="BT341" i="1"/>
  <c r="BR341" i="1"/>
  <c r="BP341" i="1"/>
  <c r="BN341" i="1"/>
  <c r="BL341" i="1"/>
  <c r="CF340" i="1"/>
  <c r="CD340" i="1"/>
  <c r="CB340" i="1"/>
  <c r="BZ340" i="1"/>
  <c r="BX340" i="1"/>
  <c r="BV340" i="1"/>
  <c r="BT340" i="1"/>
  <c r="BR340" i="1"/>
  <c r="BP340" i="1"/>
  <c r="BN340" i="1"/>
  <c r="BL340" i="1"/>
  <c r="CF339" i="1"/>
  <c r="CD339" i="1"/>
  <c r="CB339" i="1"/>
  <c r="BZ339" i="1"/>
  <c r="BX339" i="1"/>
  <c r="BV339" i="1"/>
  <c r="BT339" i="1"/>
  <c r="BR339" i="1"/>
  <c r="BP339" i="1"/>
  <c r="BN339" i="1"/>
  <c r="BL339" i="1"/>
  <c r="CF338" i="1"/>
  <c r="CD338" i="1"/>
  <c r="CB338" i="1"/>
  <c r="BZ338" i="1"/>
  <c r="BX338" i="1"/>
  <c r="BV338" i="1"/>
  <c r="BT338" i="1"/>
  <c r="BR338" i="1"/>
  <c r="BP338" i="1"/>
  <c r="BN338" i="1"/>
  <c r="BL338" i="1"/>
  <c r="BY323" i="1"/>
  <c r="BP323" i="1"/>
  <c r="BG323" i="1"/>
  <c r="BS237" i="1"/>
  <c r="BM237" i="1"/>
  <c r="BG237" i="1"/>
  <c r="B4" i="3"/>
  <c r="C4" i="3"/>
  <c r="D4" i="3"/>
  <c r="E4" i="3"/>
  <c r="F4" i="3"/>
  <c r="G4" i="3"/>
  <c r="H4" i="3"/>
  <c r="I4" i="3"/>
  <c r="J4" i="3"/>
  <c r="K4" i="3"/>
  <c r="L4" i="3"/>
  <c r="M4" i="3"/>
  <c r="B9" i="3"/>
  <c r="C9" i="3"/>
  <c r="D9" i="3"/>
  <c r="E9" i="3"/>
  <c r="F9" i="3"/>
  <c r="G9" i="3"/>
  <c r="H9" i="3"/>
  <c r="I9" i="3"/>
  <c r="J9" i="3"/>
  <c r="K9" i="3"/>
  <c r="L9" i="3"/>
  <c r="M9" i="3"/>
  <c r="B14" i="3"/>
  <c r="C14" i="3"/>
  <c r="D14" i="3"/>
  <c r="E14" i="3"/>
  <c r="F14" i="3"/>
  <c r="G14" i="3"/>
  <c r="H14" i="3"/>
  <c r="I14" i="3"/>
  <c r="J14" i="3"/>
  <c r="K14" i="3"/>
  <c r="L14" i="3"/>
  <c r="M14" i="3"/>
  <c r="G19" i="3"/>
  <c r="B20" i="3"/>
  <c r="C20" i="3"/>
  <c r="D20" i="3"/>
  <c r="G20" i="3"/>
  <c r="B21" i="3"/>
  <c r="C21" i="3"/>
  <c r="D21" i="3"/>
  <c r="B22" i="3"/>
  <c r="C22" i="3"/>
  <c r="D22" i="3"/>
  <c r="B31" i="3"/>
  <c r="C31" i="3"/>
  <c r="D31" i="3"/>
  <c r="E31" i="3"/>
  <c r="F31" i="3"/>
  <c r="G31" i="3"/>
  <c r="H31" i="3"/>
  <c r="AA16" i="2" l="1"/>
  <c r="Q23" i="2"/>
  <c r="P23" i="2"/>
  <c r="O23" i="2"/>
  <c r="N23" i="2"/>
  <c r="M23" i="2"/>
  <c r="L23" i="2"/>
  <c r="K23" i="2"/>
  <c r="J23" i="2"/>
  <c r="AA15" i="2"/>
  <c r="Q22" i="2"/>
  <c r="P22" i="2"/>
  <c r="O22" i="2"/>
  <c r="N22" i="2"/>
  <c r="M22" i="2"/>
  <c r="L22" i="2"/>
  <c r="K22" i="2"/>
  <c r="J22" i="2"/>
  <c r="AA14" i="2"/>
  <c r="Q21" i="2"/>
  <c r="P21" i="2"/>
  <c r="O21" i="2"/>
  <c r="N21" i="2"/>
  <c r="M21" i="2"/>
  <c r="L21" i="2"/>
  <c r="K21" i="2"/>
  <c r="J21" i="2"/>
  <c r="AA13" i="2"/>
  <c r="Q20" i="2"/>
  <c r="P20" i="2"/>
  <c r="O20" i="2"/>
  <c r="N20" i="2"/>
  <c r="M20" i="2"/>
  <c r="L20" i="2"/>
  <c r="K20" i="2"/>
  <c r="J20" i="2"/>
  <c r="AA12" i="2"/>
  <c r="Q19" i="2"/>
  <c r="P19" i="2"/>
  <c r="O19" i="2"/>
  <c r="N19" i="2"/>
  <c r="M19" i="2"/>
  <c r="L19" i="2"/>
  <c r="K19" i="2"/>
  <c r="J19" i="2"/>
  <c r="B9" i="2"/>
  <c r="H4" i="2"/>
  <c r="I4" i="2"/>
  <c r="J4" i="2"/>
  <c r="K4" i="2"/>
  <c r="L4" i="2"/>
  <c r="M4" i="2"/>
  <c r="N4" i="2"/>
  <c r="O4" i="2"/>
  <c r="P4" i="2"/>
  <c r="Q4" i="2"/>
  <c r="R4" i="2"/>
  <c r="G4" i="2"/>
  <c r="B6" i="2"/>
  <c r="BM204" i="1"/>
  <c r="BG204" i="1"/>
</calcChain>
</file>

<file path=xl/sharedStrings.xml><?xml version="1.0" encoding="utf-8"?>
<sst xmlns="http://schemas.openxmlformats.org/spreadsheetml/2006/main" count="208" uniqueCount="76">
  <si>
    <t>Índices de Liquidez</t>
  </si>
  <si>
    <t>Liquidez Corrente</t>
  </si>
  <si>
    <t>Liquidez Seca</t>
  </si>
  <si>
    <t>Liquidez Imediata</t>
  </si>
  <si>
    <t>Estoques</t>
  </si>
  <si>
    <t>Ativo Circulante</t>
  </si>
  <si>
    <t>Ativo Não Circulante</t>
  </si>
  <si>
    <t>Passivo Circulante</t>
  </si>
  <si>
    <t>Passivo Não Circulante</t>
  </si>
  <si>
    <t>Índices de Endividamento</t>
  </si>
  <si>
    <t>Patrimônio Líquido</t>
  </si>
  <si>
    <t>Participação de Capital de Terceiros</t>
  </si>
  <si>
    <t>Composição do Endividamento</t>
  </si>
  <si>
    <t>Imobilização do Patrimônio Líquido</t>
  </si>
  <si>
    <t>Evolução Temporal</t>
  </si>
  <si>
    <t>Item</t>
  </si>
  <si>
    <t>Janeiro</t>
  </si>
  <si>
    <t>Fevereiro</t>
  </si>
  <si>
    <t>Março</t>
  </si>
  <si>
    <t>Abril</t>
  </si>
  <si>
    <t>Maio</t>
  </si>
  <si>
    <t>Junho</t>
  </si>
  <si>
    <t>Receita Líquida</t>
  </si>
  <si>
    <t>CPV</t>
  </si>
  <si>
    <t>Lucro Bruto</t>
  </si>
  <si>
    <t>Julho</t>
  </si>
  <si>
    <t>Agosto</t>
  </si>
  <si>
    <t>Setembro</t>
  </si>
  <si>
    <t>Outubro</t>
  </si>
  <si>
    <t>Novembro</t>
  </si>
  <si>
    <t>Dezembro</t>
  </si>
  <si>
    <t>Análise de Receita por Usuários (RPU)</t>
  </si>
  <si>
    <t>RPU Mensal Geral</t>
  </si>
  <si>
    <t>RPU Usuário Gratuitos</t>
  </si>
  <si>
    <t>RPU Usuários Pagantes</t>
  </si>
  <si>
    <t>Receita Total Mensal</t>
  </si>
  <si>
    <t>Qtde. de Usuário</t>
  </si>
  <si>
    <t>Receita Total Usuários G</t>
  </si>
  <si>
    <t>LTV Usuários Gratuitos</t>
  </si>
  <si>
    <t>LTV Usuários Pagantes</t>
  </si>
  <si>
    <t>PCT</t>
  </si>
  <si>
    <t>CE</t>
  </si>
  <si>
    <t>IPL</t>
  </si>
  <si>
    <t>Taxa</t>
  </si>
  <si>
    <t>Receita Total</t>
    <phoneticPr fontId="2" type="noConversion"/>
  </si>
  <si>
    <t>Categoria</t>
    <phoneticPr fontId="2" type="noConversion"/>
  </si>
  <si>
    <t>E</t>
    <phoneticPr fontId="2" type="noConversion"/>
  </si>
  <si>
    <t>D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</si>
  <si>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</si>
  <si>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</si>
  <si>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</si>
  <si>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Ticket Medio</t>
    <phoneticPr fontId="2" type="noConversion"/>
  </si>
  <si>
    <t>Transacoes</t>
    <phoneticPr fontId="2" type="noConversion"/>
  </si>
  <si>
    <t>Dom</t>
    <phoneticPr fontId="2" type="noConversion"/>
  </si>
  <si>
    <t>Sab</t>
    <phoneticPr fontId="2" type="noConversion"/>
  </si>
  <si>
    <t>Sex</t>
    <phoneticPr fontId="2" type="noConversion"/>
  </si>
  <si>
    <t>Qui</t>
    <phoneticPr fontId="2" type="noConversion"/>
  </si>
  <si>
    <t>Qua</t>
    <phoneticPr fontId="2" type="noConversion"/>
  </si>
  <si>
    <t>Ter</t>
    <phoneticPr fontId="2" type="noConversion"/>
  </si>
  <si>
    <t>Seg</t>
    <phoneticPr fontId="2" type="noConversion"/>
  </si>
  <si>
    <t>Ticket Medio Diária</t>
  </si>
  <si>
    <t>Participacao do Usuario</t>
    <phoneticPr fontId="2" type="noConversion"/>
  </si>
  <si>
    <t>Noite</t>
    <phoneticPr fontId="2" type="noConversion"/>
  </si>
  <si>
    <t>Tarde</t>
    <phoneticPr fontId="2" type="noConversion"/>
  </si>
  <si>
    <t>Manha</t>
    <phoneticPr fontId="2" type="noConversion"/>
  </si>
  <si>
    <t>Receita Liquida</t>
    <phoneticPr fontId="2" type="noConversion"/>
  </si>
  <si>
    <t>Repasses</t>
    <phoneticPr fontId="2" type="noConversion"/>
  </si>
  <si>
    <t>Margem Operacional</t>
    <phoneticPr fontId="2" type="noConversion"/>
  </si>
  <si>
    <t>Receita</t>
    <phoneticPr fontId="2" type="noConversion"/>
  </si>
  <si>
    <t>Soma dos Tipos do Cupom</t>
    <phoneticPr fontId="2" type="noConversion"/>
  </si>
  <si>
    <t>Desconto</t>
    <phoneticPr fontId="2" type="noConversion"/>
  </si>
  <si>
    <t>Produto</t>
    <phoneticPr fontId="2" type="noConversion"/>
  </si>
  <si>
    <t>Cashbark</t>
    <phoneticPr fontId="2" type="noConversion"/>
  </si>
  <si>
    <t>Volume de transacoes</t>
    <phoneticPr fontId="2" type="noConversion"/>
  </si>
  <si>
    <t>Deconto</t>
    <phoneticPr fontId="2" type="noConversion"/>
  </si>
  <si>
    <t>Liquidez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</si>
</sst>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 &quot;¥&quot;* #,##0.00_ ;_ &quot;¥&quot;* \-#,##0.00_ ;_ &quot;¥&quot;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 applyAlignment="1">
      <alignment horizontal="left" vertical="center"/>
    </xf>
    <xf numFmtId="0" fontId="0" fillId="3" borderId="0" xfId="0" applyFill="1"/>
    <xf numFmtId="44" fontId="0" fillId="0" borderId="0" xfId="1" applyFont="1"/>
    <xf numFmtId="9" fontId="6" fillId="3" borderId="0" xfId="2" applyFont="1" applyFill="1"/>
    <xf numFmtId="0" fontId="7" fillId="2" borderId="0" xfId="0" applyFont="1" applyFill="1"/>
    <xf numFmtId="44" fontId="7" fillId="2" borderId="0" xfId="1" applyFont="1" applyFill="1"/>
    <xf numFmtId="9" fontId="8" fillId="2" borderId="0" xfId="2" applyFont="1" applyFill="1"/>
    <xf numFmtId="9" fontId="9" fillId="2" borderId="0" xfId="2" applyFont="1" applyFill="1"/>
    <xf numFmtId="9" fontId="10" fillId="2" borderId="0" xfId="2" applyFont="1" applyFill="1"/>
    <xf numFmtId="0" fontId="1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44" fontId="0" fillId="0" borderId="0" xfId="1" applyFont="1" applyAlignment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8" fontId="4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9" fontId="4" fillId="2" borderId="0" xfId="2" applyFont="1" applyFill="1" applyAlignment="1">
      <alignment horizontal="center" vertical="center"/>
    </xf>
    <xf numFmtId="44" fontId="4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top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DADOS!$A$1:$A$5</c:f>
              <c:strCache>
                <c:ptCount val="5"/>
                <c:pt idx="0">
                  <c:v>Ativo Circulante</c:v>
                </c:pt>
                <c:pt idx="1">
                  <c:v>Ativo Não Circulante</c:v>
                </c:pt>
                <c:pt idx="2">
                  <c:v>Estoques</c:v>
                </c:pt>
                <c:pt idx="3">
                  <c:v>Passivo Circulante</c:v>
                </c:pt>
                <c:pt idx="4">
                  <c:v>Passivo Não Circulante</c:v>
                </c:pt>
              </c:strCache>
            </c:strRef>
          </c:cat>
          <c:val>
            <c:numRef>
              <c:f>DADOS!$B$1:$B$5</c:f>
              <c:numCache>
                <c:formatCode>_("R$"* #,##0.00_);_("R$"* \(#,##0.00\);_("R$"* "-"??_);_(@_)</c:formatCode>
                <c:ptCount val="5"/>
                <c:pt idx="0">
                  <c:v>1000000</c:v>
                </c:pt>
                <c:pt idx="1">
                  <c:v>5000000</c:v>
                </c:pt>
                <c:pt idx="2">
                  <c:v>500000</c:v>
                </c:pt>
                <c:pt idx="3">
                  <c:v>5000000</c:v>
                </c:pt>
                <c:pt idx="4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5-4E0D-8C17-BF5A69EC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599615"/>
        <c:axId val="1141600095"/>
      </c:barChart>
      <c:catAx>
        <c:axId val="114159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600095"/>
        <c:crosses val="autoZero"/>
        <c:auto val="1"/>
        <c:lblAlgn val="ctr"/>
        <c:lblOffset val="100"/>
        <c:noMultiLvlLbl val="0"/>
      </c:catAx>
      <c:valAx>
        <c:axId val="114160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159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Composição do Endividamento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F7-4221-8485-61F7C67510D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F7-4221-8485-61F7C67510D0}"/>
              </c:ext>
            </c:extLst>
          </c:dPt>
          <c:cat>
            <c:strRef>
              <c:f>DADOS!$A$4:$A$5</c:f>
              <c:strCache>
                <c:ptCount val="2"/>
                <c:pt idx="0">
                  <c:v>Passivo Circulante</c:v>
                </c:pt>
                <c:pt idx="1">
                  <c:v>Passivo Não Circulante</c:v>
                </c:pt>
              </c:strCache>
            </c:strRef>
          </c:cat>
          <c:val>
            <c:numRef>
              <c:f>DADOS!$B$4:$B$5</c:f>
              <c:numCache>
                <c:formatCode>_("R$"* #,##0.00_);_("R$"* \(#,##0.00\);_("R$"* "-"??_);_(@_)</c:formatCode>
                <c:ptCount val="2"/>
                <c:pt idx="0">
                  <c:v>5000000</c:v>
                </c:pt>
                <c:pt idx="1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9-4473-A1E5-526475A3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Imobilização  do Patrimônio</a:t>
            </a:r>
            <a:r>
              <a:rPr lang="pt-BR" b="1" baseline="0"/>
              <a:t>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6-463F-8B6A-1FBA5DB2EA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31-46D7-94D7-B5D1DDF2827B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DADOS!$A$1:$A$6</c15:sqref>
                  </c15:fullRef>
                </c:ext>
              </c:extLst>
              <c:f>(DADOS!$A$2,DADOS!$A$6)</c:f>
              <c:strCache>
                <c:ptCount val="2"/>
                <c:pt idx="0">
                  <c:v>Ativo Não Circulante</c:v>
                </c:pt>
                <c:pt idx="1">
                  <c:v>Patrimônio Líquido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DADOS!$B$1:$B$6</c15:sqref>
                  </c15:fullRef>
                </c:ext>
              </c:extLst>
              <c:f>(DADOS!$B$2,DADOS!$B$6)</c:f>
              <c:numCache>
                <c:formatCode>_("R$"* #,##0.00_);_("R$"* \(#,##0.00\);_("R$"* "-"??_);_(@_)</c:formatCode>
                <c:ptCount val="2"/>
                <c:pt idx="0">
                  <c:v>5000000</c:v>
                </c:pt>
                <c:pt idx="1">
                  <c:v>900000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DADOS!$B$4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  <c15:categoryFilterException>
                  <c15:sqref>DADOS!$B$5</c15:sqref>
                  <c15:spPr xmlns:c15="http://schemas.microsoft.com/office/drawing/2012/chart"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0756-463F-8B6A-1FBA5DB2E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Participação</a:t>
            </a:r>
            <a:r>
              <a:rPr lang="pt-BR" b="1" baseline="0"/>
              <a:t> do Capital de Terceiros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87-4853-9BBA-06953D18CA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87-4853-9BBA-06953D18CA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87-4853-9BBA-06953D18CA22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DADOS!$A$1:$A$6</c15:sqref>
                  </c15:fullRef>
                </c:ext>
              </c:extLst>
              <c:f>DADOS!$A$4:$A$6</c:f>
              <c:strCache>
                <c:ptCount val="3"/>
                <c:pt idx="0">
                  <c:v>Passivo Circulante</c:v>
                </c:pt>
                <c:pt idx="1">
                  <c:v>Passivo Não Circulante</c:v>
                </c:pt>
                <c:pt idx="2">
                  <c:v>Patrimônio Líquido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DADOS!$B$1:$B$6</c15:sqref>
                  </c15:fullRef>
                </c:ext>
              </c:extLst>
              <c:f>DADOS!$B$4:$B$6</c:f>
              <c:numCache>
                <c:formatCode>_("R$"* #,##0.00_);_("R$"* \(#,##0.00\);_("R$"* "-"??_);_(@_)</c:formatCode>
                <c:ptCount val="3"/>
                <c:pt idx="0">
                  <c:v>5000000</c:v>
                </c:pt>
                <c:pt idx="1">
                  <c:v>100000</c:v>
                </c:pt>
                <c:pt idx="2">
                  <c:v>900000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CDE0-4F19-829A-003F47FE2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 Temporal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DADOS!$F$2</c:f>
              <c:strCache>
                <c:ptCount val="1"/>
                <c:pt idx="0">
                  <c:v>Receita Líquida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DADOS!$G$2:$R$2</c:f>
              <c:numCache>
                <c:formatCode>_("R$"* #,##0.00_);_("R$"* \(#,##0.00\);_("R$"* "-"??_);_(@_)</c:formatCode>
                <c:ptCount val="12"/>
                <c:pt idx="0">
                  <c:v>850000</c:v>
                </c:pt>
                <c:pt idx="1">
                  <c:v>935000</c:v>
                </c:pt>
                <c:pt idx="2">
                  <c:v>800000</c:v>
                </c:pt>
                <c:pt idx="3">
                  <c:v>1000000</c:v>
                </c:pt>
                <c:pt idx="4">
                  <c:v>235000</c:v>
                </c:pt>
                <c:pt idx="5">
                  <c:v>600000</c:v>
                </c:pt>
                <c:pt idx="6">
                  <c:v>799000</c:v>
                </c:pt>
                <c:pt idx="7">
                  <c:v>589006</c:v>
                </c:pt>
                <c:pt idx="8">
                  <c:v>496000</c:v>
                </c:pt>
                <c:pt idx="9">
                  <c:v>1232000</c:v>
                </c:pt>
                <c:pt idx="10">
                  <c:v>988600</c:v>
                </c:pt>
                <c:pt idx="11">
                  <c:v>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7-4904-8120-F095A00C56E7}"/>
            </c:ext>
          </c:extLst>
        </c:ser>
        <c:ser>
          <c:idx val="1"/>
          <c:order val="1"/>
          <c:tx>
            <c:strRef>
              <c:f>DADOS!$F$3</c:f>
              <c:strCache>
                <c:ptCount val="1"/>
                <c:pt idx="0">
                  <c:v>CPV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DADOS!$G$3:$R$3</c:f>
              <c:numCache>
                <c:formatCode>_("R$"* #,##0.00_);_("R$"* \(#,##0.00\);_("R$"* "-"??_);_(@_)</c:formatCode>
                <c:ptCount val="12"/>
                <c:pt idx="0">
                  <c:v>100000</c:v>
                </c:pt>
                <c:pt idx="1">
                  <c:v>50000</c:v>
                </c:pt>
                <c:pt idx="2">
                  <c:v>100000</c:v>
                </c:pt>
                <c:pt idx="3">
                  <c:v>600000</c:v>
                </c:pt>
                <c:pt idx="4">
                  <c:v>543000</c:v>
                </c:pt>
                <c:pt idx="5">
                  <c:v>45000</c:v>
                </c:pt>
                <c:pt idx="6">
                  <c:v>102000</c:v>
                </c:pt>
                <c:pt idx="7">
                  <c:v>150326</c:v>
                </c:pt>
                <c:pt idx="8">
                  <c:v>489632</c:v>
                </c:pt>
                <c:pt idx="9">
                  <c:v>400000</c:v>
                </c:pt>
                <c:pt idx="10">
                  <c:v>450000</c:v>
                </c:pt>
                <c:pt idx="11">
                  <c:v>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7-4904-8120-F095A00C56E7}"/>
            </c:ext>
          </c:extLst>
        </c:ser>
        <c:ser>
          <c:idx val="2"/>
          <c:order val="2"/>
          <c:tx>
            <c:strRef>
              <c:f>DADOS!$F$4</c:f>
              <c:strCache>
                <c:ptCount val="1"/>
                <c:pt idx="0">
                  <c:v>Lucro Bruto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DADOS!$G$1:$R$1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DADOS!$G$4:$R$4</c:f>
              <c:numCache>
                <c:formatCode>_("R$"* #,##0.00_);_("R$"* \(#,##0.00\);_("R$"* "-"??_);_(@_)</c:formatCode>
                <c:ptCount val="12"/>
                <c:pt idx="0">
                  <c:v>750000</c:v>
                </c:pt>
                <c:pt idx="1">
                  <c:v>885000</c:v>
                </c:pt>
                <c:pt idx="2">
                  <c:v>700000</c:v>
                </c:pt>
                <c:pt idx="3">
                  <c:v>400000</c:v>
                </c:pt>
                <c:pt idx="4">
                  <c:v>-308000</c:v>
                </c:pt>
                <c:pt idx="5">
                  <c:v>555000</c:v>
                </c:pt>
                <c:pt idx="6">
                  <c:v>697000</c:v>
                </c:pt>
                <c:pt idx="7">
                  <c:v>438680</c:v>
                </c:pt>
                <c:pt idx="8">
                  <c:v>6368</c:v>
                </c:pt>
                <c:pt idx="9">
                  <c:v>832000</c:v>
                </c:pt>
                <c:pt idx="10">
                  <c:v>538600</c:v>
                </c:pt>
                <c:pt idx="11">
                  <c:v>388888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7-4904-8120-F095A00C5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8080095"/>
        <c:axId val="1368078655"/>
      </c:lineChart>
      <c:catAx>
        <c:axId val="13680800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78655"/>
        <c:crosses val="autoZero"/>
        <c:auto val="1"/>
        <c:lblAlgn val="ctr"/>
        <c:lblOffset val="100"/>
        <c:noMultiLvlLbl val="0"/>
      </c:catAx>
      <c:valAx>
        <c:axId val="136807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80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DADOS!$F$7</c:f>
              <c:strCache>
                <c:ptCount val="1"/>
                <c:pt idx="0">
                  <c:v>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DADOS!$G$7:$R$7</c:f>
              <c:numCache>
                <c:formatCode>General</c:formatCode>
                <c:ptCount val="12"/>
                <c:pt idx="0">
                  <c:v>100</c:v>
                </c:pt>
                <c:pt idx="1">
                  <c:v>50</c:v>
                </c:pt>
                <c:pt idx="2">
                  <c:v>60</c:v>
                </c:pt>
                <c:pt idx="3">
                  <c:v>80</c:v>
                </c:pt>
                <c:pt idx="4">
                  <c:v>200</c:v>
                </c:pt>
                <c:pt idx="5">
                  <c:v>260</c:v>
                </c:pt>
                <c:pt idx="6">
                  <c:v>420</c:v>
                </c:pt>
                <c:pt idx="7">
                  <c:v>480</c:v>
                </c:pt>
                <c:pt idx="8">
                  <c:v>557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53-42E7-8FF5-B7D8CFA2959C}"/>
            </c:ext>
          </c:extLst>
        </c:ser>
        <c:ser>
          <c:idx val="1"/>
          <c:order val="1"/>
          <c:tx>
            <c:strRef>
              <c:f>DADOS!$F$8</c:f>
              <c:strCache>
                <c:ptCount val="1"/>
                <c:pt idx="0">
                  <c:v>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DADOS!$G$8:$R$8</c:f>
              <c:numCache>
                <c:formatCode>General</c:formatCode>
                <c:ptCount val="12"/>
                <c:pt idx="0">
                  <c:v>20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70</c:v>
                </c:pt>
                <c:pt idx="5">
                  <c:v>90</c:v>
                </c:pt>
                <c:pt idx="6">
                  <c:v>120</c:v>
                </c:pt>
                <c:pt idx="7">
                  <c:v>130</c:v>
                </c:pt>
                <c:pt idx="8">
                  <c:v>98</c:v>
                </c:pt>
                <c:pt idx="9">
                  <c:v>120</c:v>
                </c:pt>
                <c:pt idx="10">
                  <c:v>120</c:v>
                </c:pt>
                <c:pt idx="11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3-42E7-8FF5-B7D8CFA2959C}"/>
            </c:ext>
          </c:extLst>
        </c:ser>
        <c:ser>
          <c:idx val="2"/>
          <c:order val="2"/>
          <c:tx>
            <c:strRef>
              <c:f>DADOS!$F$9</c:f>
              <c:strCache>
                <c:ptCount val="1"/>
                <c:pt idx="0">
                  <c:v>IPL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DADOS!$G$6:$R$6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DADOS!$G$9:$R$9</c:f>
              <c:numCache>
                <c:formatCode>General</c:formatCode>
                <c:ptCount val="12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  <c:pt idx="3">
                  <c:v>60</c:v>
                </c:pt>
                <c:pt idx="4">
                  <c:v>160</c:v>
                </c:pt>
                <c:pt idx="5">
                  <c:v>250</c:v>
                </c:pt>
                <c:pt idx="6">
                  <c:v>380</c:v>
                </c:pt>
                <c:pt idx="7">
                  <c:v>470</c:v>
                </c:pt>
                <c:pt idx="8">
                  <c:v>556</c:v>
                </c:pt>
                <c:pt idx="9">
                  <c:v>600</c:v>
                </c:pt>
                <c:pt idx="10">
                  <c:v>600</c:v>
                </c:pt>
                <c:pt idx="11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53-42E7-8FF5-B7D8CFA29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177039"/>
        <c:axId val="1659196239"/>
      </c:lineChart>
      <c:catAx>
        <c:axId val="165917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196239"/>
        <c:crosses val="autoZero"/>
        <c:auto val="1"/>
        <c:lblAlgn val="ctr"/>
        <c:lblOffset val="100"/>
        <c:noMultiLvlLbl val="0"/>
      </c:catAx>
      <c:valAx>
        <c:axId val="165919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917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Análise de Receita</a:t>
            </a:r>
            <a:r>
              <a:rPr lang="pt-BR" b="1" baseline="0"/>
              <a:t> por Usuário em 2025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DADOS!$F$19:$G$19</c:f>
              <c:strCache>
                <c:ptCount val="2"/>
                <c:pt idx="0">
                  <c:v>RPU Mensal Geral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DADOS!$H$19:$Q$19</c:f>
              <c:numCache>
                <c:formatCode>General</c:formatCode>
                <c:ptCount val="10"/>
                <c:pt idx="0" formatCode="0%">
                  <c:v>0.02</c:v>
                </c:pt>
                <c:pt idx="1">
                  <c:v>-0.4</c:v>
                </c:pt>
                <c:pt idx="2" formatCode="0%">
                  <c:v>-0.4</c:v>
                </c:pt>
                <c:pt idx="3" formatCode="0%">
                  <c:v>1</c:v>
                </c:pt>
                <c:pt idx="4" formatCode="0%">
                  <c:v>1.6666666666666607E-2</c:v>
                </c:pt>
                <c:pt idx="5" formatCode="0%">
                  <c:v>0.14754098360655754</c:v>
                </c:pt>
                <c:pt idx="6" formatCode="0%">
                  <c:v>0.14285714285714279</c:v>
                </c:pt>
                <c:pt idx="7" formatCode="0%">
                  <c:v>-0.25</c:v>
                </c:pt>
                <c:pt idx="8" formatCode="0%">
                  <c:v>-0.33333333333333337</c:v>
                </c:pt>
                <c:pt idx="9" formatCode="0%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B4-40A7-B52E-5704139246F9}"/>
            </c:ext>
          </c:extLst>
        </c:ser>
        <c:ser>
          <c:idx val="1"/>
          <c:order val="1"/>
          <c:tx>
            <c:strRef>
              <c:f>DADOS!$F$20:$G$20</c:f>
              <c:strCache>
                <c:ptCount val="2"/>
                <c:pt idx="0">
                  <c:v>RPU Usuário Gratuitos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DADOS!$H$20:$Q$20</c:f>
              <c:numCache>
                <c:formatCode>General</c:formatCode>
                <c:ptCount val="10"/>
                <c:pt idx="0" formatCode="0%">
                  <c:v>0.02</c:v>
                </c:pt>
                <c:pt idx="1">
                  <c:v>-0.33333333333333326</c:v>
                </c:pt>
                <c:pt idx="2" formatCode="0%">
                  <c:v>-0.33333333333333326</c:v>
                </c:pt>
                <c:pt idx="3" formatCode="0%">
                  <c:v>1.75</c:v>
                </c:pt>
                <c:pt idx="4" formatCode="0%">
                  <c:v>4.5454545454545192E-2</c:v>
                </c:pt>
                <c:pt idx="5" formatCode="0%">
                  <c:v>0.30434782608695654</c:v>
                </c:pt>
                <c:pt idx="6" formatCode="0%">
                  <c:v>0.33333333333333326</c:v>
                </c:pt>
                <c:pt idx="7" formatCode="0%">
                  <c:v>-0.5</c:v>
                </c:pt>
                <c:pt idx="8" formatCode="0%">
                  <c:v>0.5</c:v>
                </c:pt>
                <c:pt idx="9" formatCode="0%">
                  <c:v>5.666666666666667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B4-40A7-B52E-5704139246F9}"/>
            </c:ext>
          </c:extLst>
        </c:ser>
        <c:ser>
          <c:idx val="2"/>
          <c:order val="2"/>
          <c:tx>
            <c:strRef>
              <c:f>DADOS!$F$21:$G$21</c:f>
              <c:strCache>
                <c:ptCount val="2"/>
                <c:pt idx="0">
                  <c:v>RPU Usuários Pagantes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DADOS!$H$21:$Q$21</c:f>
              <c:numCache>
                <c:formatCode>General</c:formatCode>
                <c:ptCount val="10"/>
                <c:pt idx="0" formatCode="0%">
                  <c:v>0.01</c:v>
                </c:pt>
                <c:pt idx="1">
                  <c:v>-0.12447152449639398</c:v>
                </c:pt>
                <c:pt idx="2" formatCode="0%">
                  <c:v>-0.12447152449639398</c:v>
                </c:pt>
                <c:pt idx="3" formatCode="0%">
                  <c:v>-0.28405056099985804</c:v>
                </c:pt>
                <c:pt idx="4" formatCode="0%">
                  <c:v>1.9837333862349205E-4</c:v>
                </c:pt>
                <c:pt idx="5" formatCode="0%">
                  <c:v>1.1503371677905605E-2</c:v>
                </c:pt>
                <c:pt idx="6" formatCode="0%">
                  <c:v>1.9607843137254832E-2</c:v>
                </c:pt>
                <c:pt idx="7" formatCode="0%">
                  <c:v>1.9230769230769162E-2</c:v>
                </c:pt>
                <c:pt idx="8" formatCode="0%">
                  <c:v>9.4339622641509413E-2</c:v>
                </c:pt>
                <c:pt idx="9" formatCode="0%">
                  <c:v>-0.48275862068965514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B4-40A7-B52E-5704139246F9}"/>
            </c:ext>
          </c:extLst>
        </c:ser>
        <c:ser>
          <c:idx val="3"/>
          <c:order val="3"/>
          <c:tx>
            <c:strRef>
              <c:f>DADOS!$F$22:$G$22</c:f>
              <c:strCache>
                <c:ptCount val="2"/>
                <c:pt idx="0">
                  <c:v>LTV Usuários Gratuitos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DADOS!$H$22:$Q$22</c:f>
              <c:numCache>
                <c:formatCode>General</c:formatCode>
                <c:ptCount val="10"/>
                <c:pt idx="0" formatCode="0%">
                  <c:v>0.03</c:v>
                </c:pt>
                <c:pt idx="1">
                  <c:v>8.1967213114754189E-2</c:v>
                </c:pt>
                <c:pt idx="2" formatCode="0%">
                  <c:v>8.1967213114754189E-2</c:v>
                </c:pt>
                <c:pt idx="3" formatCode="0%">
                  <c:v>-7.5757575757575801E-2</c:v>
                </c:pt>
                <c:pt idx="4" formatCode="0%">
                  <c:v>2.0491803278688492E-2</c:v>
                </c:pt>
                <c:pt idx="5" formatCode="0%">
                  <c:v>4.4176706827309342E-2</c:v>
                </c:pt>
                <c:pt idx="6" formatCode="0%">
                  <c:v>3.8461538461538547E-2</c:v>
                </c:pt>
                <c:pt idx="7" formatCode="0%">
                  <c:v>3.7037037037036979E-2</c:v>
                </c:pt>
                <c:pt idx="8" formatCode="0%">
                  <c:v>-7.1428571428571397E-2</c:v>
                </c:pt>
                <c:pt idx="9" formatCode="0%">
                  <c:v>0.53846153846153855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B4-40A7-B52E-5704139246F9}"/>
            </c:ext>
          </c:extLst>
        </c:ser>
        <c:ser>
          <c:idx val="4"/>
          <c:order val="4"/>
          <c:tx>
            <c:strRef>
              <c:f>DADOS!$F$23:$G$23</c:f>
              <c:strCache>
                <c:ptCount val="2"/>
                <c:pt idx="0">
                  <c:v>LTV Usuários Pagantes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DADOS!$H$18:$Q$18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f>DADOS!$H$23:$Q$23</c:f>
              <c:numCache>
                <c:formatCode>General</c:formatCode>
                <c:ptCount val="10"/>
                <c:pt idx="0" formatCode="0%">
                  <c:v>0.04</c:v>
                </c:pt>
                <c:pt idx="1">
                  <c:v>1.9895548371051675E-3</c:v>
                </c:pt>
                <c:pt idx="2" formatCode="0%">
                  <c:v>1.9895548371051675E-3</c:v>
                </c:pt>
                <c:pt idx="3" formatCode="0%">
                  <c:v>-0.89575577066269541</c:v>
                </c:pt>
                <c:pt idx="4" formatCode="0%">
                  <c:v>0.16666666666666674</c:v>
                </c:pt>
                <c:pt idx="5" formatCode="0%">
                  <c:v>0.22448979591836715</c:v>
                </c:pt>
                <c:pt idx="6" formatCode="0%">
                  <c:v>0.33333333333333326</c:v>
                </c:pt>
                <c:pt idx="7" formatCode="0%">
                  <c:v>0.25</c:v>
                </c:pt>
                <c:pt idx="8" formatCode="0%">
                  <c:v>-9.9999999999999978E-2</c:v>
                </c:pt>
                <c:pt idx="9" formatCode="0%">
                  <c:v>4.5555555555555554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B4-40A7-B52E-570413924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9752383"/>
        <c:axId val="1674629679"/>
      </c:lineChart>
      <c:catAx>
        <c:axId val="12597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4629679"/>
        <c:crosses val="autoZero"/>
        <c:auto val="1"/>
        <c:lblAlgn val="ctr"/>
        <c:lblOffset val="100"/>
        <c:noMultiLvlLbl val="0"/>
      </c:catAx>
      <c:valAx>
        <c:axId val="167462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975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Ticket Medio </a:t>
            </a:r>
            <a:endParaRPr lang="zh-CN" altLang="en-US"/>
          </a:p>
        </c:rich>
      </c:tx>
      <c:layout>
        <c:manualLayout>
          <c:xMode val="edge"/>
          <c:yMode val="edge"/>
          <c:x val="0.79279062558125113"/>
          <c:y val="0.15277777777777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92879700197904"/>
          <c:y val="5.0925925925925923E-2"/>
          <c:w val="0.68397249369407387"/>
          <c:h val="0.73434237386993295"/>
        </c:manualLayout>
      </c:layout>
      <c:lineChart>
        <c:grouping val="standard"/>
        <c:varyColors val="0"/>
        <c:ser>
          <c:idx val="4"/>
          <c:order val="0"/>
          <c:tx>
            <c:strRef>
              <c:f>Planilha1!$A$1</c:f>
              <c:strCache>
                <c:ptCount val="1"/>
                <c:pt idx="0">
                  <c:v>Cashbark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Planilha1!$B$4:$M$4</c:f>
              <c:numCache>
                <c:formatCode>_ "¥"* #,##0.00_ ;_ "¥"* \-#,##0.00_ ;_ "¥"* "-"??_ ;_ @_ </c:formatCode>
                <c:ptCount val="12"/>
                <c:pt idx="0">
                  <c:v>8500</c:v>
                </c:pt>
                <c:pt idx="1">
                  <c:v>18700</c:v>
                </c:pt>
                <c:pt idx="2">
                  <c:v>13333.333333333334</c:v>
                </c:pt>
                <c:pt idx="3">
                  <c:v>12500</c:v>
                </c:pt>
                <c:pt idx="4">
                  <c:v>1175</c:v>
                </c:pt>
                <c:pt idx="5">
                  <c:v>2307.6923076923076</c:v>
                </c:pt>
                <c:pt idx="6">
                  <c:v>1902.3809523809523</c:v>
                </c:pt>
                <c:pt idx="7">
                  <c:v>1227.0958333333333</c:v>
                </c:pt>
                <c:pt idx="8">
                  <c:v>890.48473967684026</c:v>
                </c:pt>
                <c:pt idx="9">
                  <c:v>2053.3333333333335</c:v>
                </c:pt>
                <c:pt idx="10">
                  <c:v>1412.2857142857142</c:v>
                </c:pt>
                <c:pt idx="11">
                  <c:v>1111.1099999999999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9-4B11-9F5F-3AD1BF152AD6}"/>
            </c:ext>
          </c:extLst>
        </c:ser>
        <c:ser>
          <c:idx val="5"/>
          <c:order val="1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A59-4B11-9F5F-3AD1BF152AD6}"/>
            </c:ext>
          </c:extLst>
        </c:ser>
        <c:ser>
          <c:idx val="6"/>
          <c:order val="2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Planilha1!$B$9:$M$9</c:f>
              <c:numCache>
                <c:formatCode>_ "¥"* #,##0.00_ ;_ "¥"* \-#,##0.00_ ;_ "¥"* "-"??_ ;_ @_ 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1666.6666666666667</c:v>
                </c:pt>
                <c:pt idx="3">
                  <c:v>7500</c:v>
                </c:pt>
                <c:pt idx="4">
                  <c:v>2715</c:v>
                </c:pt>
                <c:pt idx="5">
                  <c:v>173.07692307692307</c:v>
                </c:pt>
                <c:pt idx="6">
                  <c:v>242.85714285714286</c:v>
                </c:pt>
                <c:pt idx="7">
                  <c:v>313.17916666666667</c:v>
                </c:pt>
                <c:pt idx="8">
                  <c:v>879.05206463195691</c:v>
                </c:pt>
                <c:pt idx="9">
                  <c:v>666.66666666666663</c:v>
                </c:pt>
                <c:pt idx="10">
                  <c:v>642.85714285714289</c:v>
                </c:pt>
                <c:pt idx="11">
                  <c:v>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59-4B11-9F5F-3AD1BF152AD6}"/>
            </c:ext>
          </c:extLst>
        </c:ser>
        <c:ser>
          <c:idx val="7"/>
          <c:order val="3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CA59-4B11-9F5F-3AD1BF152AD6}"/>
            </c:ext>
          </c:extLst>
        </c:ser>
        <c:ser>
          <c:idx val="1"/>
          <c:order val="4"/>
          <c:tx>
            <c:strRef>
              <c:f>Planilha1!$A$11</c:f>
              <c:strCache>
                <c:ptCount val="1"/>
                <c:pt idx="0">
                  <c:v>Deconto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Planilha1!$B$14:$M$14</c:f>
              <c:numCache>
                <c:formatCode>_ "¥"* #,##0.00_ ;_ "¥"* \-#,##0.00_ ;_ "¥"* "-"??_ ;_ @_ </c:formatCode>
                <c:ptCount val="12"/>
                <c:pt idx="0">
                  <c:v>2423.4299999999998</c:v>
                </c:pt>
                <c:pt idx="1">
                  <c:v>864.86</c:v>
                </c:pt>
                <c:pt idx="2">
                  <c:v>3907.2</c:v>
                </c:pt>
                <c:pt idx="3">
                  <c:v>2930.4</c:v>
                </c:pt>
                <c:pt idx="4">
                  <c:v>2121.1149999999998</c:v>
                </c:pt>
                <c:pt idx="5">
                  <c:v>90.507692307692309</c:v>
                </c:pt>
                <c:pt idx="6">
                  <c:v>555.34047619047624</c:v>
                </c:pt>
                <c:pt idx="7">
                  <c:v>712.98749999999995</c:v>
                </c:pt>
                <c:pt idx="8">
                  <c:v>759.84560143626572</c:v>
                </c:pt>
                <c:pt idx="9">
                  <c:v>405.72</c:v>
                </c:pt>
                <c:pt idx="10">
                  <c:v>762.19142857142856</c:v>
                </c:pt>
                <c:pt idx="11">
                  <c:v>430.41750000000002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59-4B11-9F5F-3AD1BF152AD6}"/>
            </c:ext>
          </c:extLst>
        </c:ser>
        <c:ser>
          <c:idx val="2"/>
          <c:order val="5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CA59-4B11-9F5F-3AD1BF152AD6}"/>
            </c:ext>
          </c:extLst>
        </c:ser>
        <c:ser>
          <c:idx val="0"/>
          <c:order val="6"/>
          <c:tx>
            <c:strRef>
              <c:f>Planilha1!$A$6</c:f>
              <c:strCache>
                <c:ptCount val="1"/>
                <c:pt idx="0">
                  <c:v>Produto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Planilha1!$B$9:$M$9</c:f>
              <c:numCache>
                <c:formatCode>_ "¥"* #,##0.00_ ;_ "¥"* \-#,##0.00_ ;_ "¥"* "-"??_ ;_ @_ </c:formatCode>
                <c:ptCount val="12"/>
                <c:pt idx="0">
                  <c:v>1000</c:v>
                </c:pt>
                <c:pt idx="1">
                  <c:v>1000</c:v>
                </c:pt>
                <c:pt idx="2">
                  <c:v>1666.6666666666667</c:v>
                </c:pt>
                <c:pt idx="3">
                  <c:v>7500</c:v>
                </c:pt>
                <c:pt idx="4">
                  <c:v>2715</c:v>
                </c:pt>
                <c:pt idx="5">
                  <c:v>173.07692307692307</c:v>
                </c:pt>
                <c:pt idx="6">
                  <c:v>242.85714285714286</c:v>
                </c:pt>
                <c:pt idx="7">
                  <c:v>313.17916666666667</c:v>
                </c:pt>
                <c:pt idx="8">
                  <c:v>879.05206463195691</c:v>
                </c:pt>
                <c:pt idx="9">
                  <c:v>666.66666666666663</c:v>
                </c:pt>
                <c:pt idx="10">
                  <c:v>642.85714285714289</c:v>
                </c:pt>
                <c:pt idx="11">
                  <c:v>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59-4B11-9F5F-3AD1BF152AD6}"/>
            </c:ext>
          </c:extLst>
        </c:ser>
        <c:ser>
          <c:idx val="3"/>
          <c:order val="7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Planilha1!$B$1:$M$1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7-CA59-4B11-9F5F-3AD1BF152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096640"/>
        <c:axId val="530106240"/>
      </c:lineChart>
      <c:catAx>
        <c:axId val="5300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106240"/>
        <c:crosses val="autoZero"/>
        <c:auto val="1"/>
        <c:lblAlgn val="ctr"/>
        <c:lblOffset val="100"/>
        <c:noMultiLvlLbl val="0"/>
      </c:catAx>
      <c:valAx>
        <c:axId val="530106240"/>
        <c:scaling>
          <c:orientation val="minMax"/>
        </c:scaling>
        <c:delete val="0"/>
        <c:axPos val="l"/>
        <c:numFmt formatCode="_ &quot;¥&quot;* #,##0.00_ ;_ &quot;¥&quot;* \-#,##0.00_ ;_ &quot;¥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0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2483201780045479"/>
          <c:y val="0.35061242344706911"/>
          <c:w val="0.14436309367477726"/>
          <c:h val="0.23130788165465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Operacional do Cashbark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144-4927-B999-FFE00C860225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44-4927-B999-FFE00C86022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44-4927-B999-FFE00C86022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Planilha1!$B$20:$B$21</c:f>
              <c:numCache>
                <c:formatCode>_ "¥"* #,##0.00_ ;_ "¥"* \-#,##0.00_ ;_ "¥"* "-"??_ ;_ @_ </c:formatCode>
                <c:ptCount val="2"/>
                <c:pt idx="0">
                  <c:v>0.53221364989450248</c:v>
                </c:pt>
                <c:pt idx="1">
                  <c:v>0.46778635010549752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44-4927-B999-FFE00C860225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144-4927-B999-FFE00C8602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144-4927-B999-FFE00C86022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Planilha1!$B$20:$B$21</c:f>
              <c:numCache>
                <c:formatCode>_ "¥"* #,##0.00_ ;_ "¥"* \-#,##0.00_ ;_ "¥"* "-"??_ ;_ @_ </c:formatCode>
                <c:ptCount val="2"/>
                <c:pt idx="0">
                  <c:v>0.53221364989450248</c:v>
                </c:pt>
                <c:pt idx="1">
                  <c:v>0.46778635010549752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44-4927-B999-FFE00C86022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Operacional do Desconto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17-4061-9759-7E620B4F5D23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17-4061-9759-7E620B4F5D2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17-4061-9759-7E620B4F5D2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Planilha1!$C$20:$C$21</c:f>
              <c:numCache>
                <c:formatCode>_ "¥"* #,##0.00_ ;_ "¥"* \-#,##0.00_ ;_ "¥"* "-"??_ ;_ @_ </c:formatCode>
                <c:ptCount val="2"/>
                <c:pt idx="0">
                  <c:v>0.17019919217169155</c:v>
                </c:pt>
                <c:pt idx="1">
                  <c:v>0.82980080782830845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17-4061-9759-7E620B4F5D23}"/>
            </c:ext>
          </c:extLst>
        </c:ser>
        <c:ser>
          <c:idx val="0"/>
          <c:order val="1"/>
          <c:spPr>
            <a:ln w="38100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217-4061-9759-7E620B4F5D23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217-4061-9759-7E620B4F5D2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217-4061-9759-7E620B4F5D2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Planilha1!$C$20:$C$21</c:f>
              <c:numCache>
                <c:formatCode>_ "¥"* #,##0.00_ ;_ "¥"* \-#,##0.00_ ;_ "¥"* "-"??_ ;_ @_ </c:formatCode>
                <c:ptCount val="2"/>
                <c:pt idx="0">
                  <c:v>0.17019919217169155</c:v>
                </c:pt>
                <c:pt idx="1">
                  <c:v>0.82980080782830845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217-4061-9759-7E620B4F5D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Margem Operacional do Produto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D44-4EC7-95F6-5FABA357BAEF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D44-4EC7-95F6-5FABA357BAE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44-4EC7-95F6-5FABA357BAEF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Planilha1!$D$20:$D$21</c:f>
              <c:numCache>
                <c:formatCode>_ "¥"* #,##0.00_ ;_ "¥"* \-#,##0.00_ ;_ "¥"* "-"??_ ;_ @_ </c:formatCode>
                <c:ptCount val="2"/>
                <c:pt idx="0">
                  <c:v>0.12648545428713848</c:v>
                </c:pt>
                <c:pt idx="1">
                  <c:v>0.87351454571286147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44-4EC7-95F6-5FABA357BAE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Líquita do Cashbark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40-4D77-B080-FE40735031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40-4D77-B080-FE407350314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(Planilha1!$A$19,Planilha1!$A$22)</c:f>
              <c:strCache>
                <c:ptCount val="2"/>
                <c:pt idx="0">
                  <c:v>Repasses</c:v>
                </c:pt>
                <c:pt idx="1">
                  <c:v>Receita Liquida</c:v>
                </c:pt>
              </c:strCache>
            </c:strRef>
          </c:cat>
          <c:val>
            <c:numRef>
              <c:f>(Planilha1!$B$19,Planilha1!$B$22)</c:f>
              <c:numCache>
                <c:formatCode>_ "¥"* #,##0.00_ ;_ "¥"* \-#,##0.00_ ;_ "¥"* "-"??_ ;_ @_ </c:formatCode>
                <c:ptCount val="2"/>
                <c:pt idx="0" formatCode="General">
                  <c:v>5009990</c:v>
                </c:pt>
                <c:pt idx="1">
                  <c:v>4403504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40-4D77-B080-FE40735031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Receita Líquita do Desconto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DF-4131-9DC0-C046311B0A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DF-4131-9DC0-C046311B0AA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(Planilha1!$A$19,Planilha1!$A$22)</c:f>
              <c:strCache>
                <c:ptCount val="2"/>
                <c:pt idx="0">
                  <c:v>Repasses</c:v>
                </c:pt>
                <c:pt idx="1">
                  <c:v>Receita Liquida</c:v>
                </c:pt>
              </c:strCache>
            </c:strRef>
          </c:cat>
          <c:val>
            <c:numRef>
              <c:f>(Planilha1!$C$19,Planilha1!$C$22)</c:f>
              <c:numCache>
                <c:formatCode>_ "¥"* #,##0.00_ ;_ "¥"* \-#,##0.00_ ;_ "¥"* "-"??_ ;_ @_ </c:formatCode>
                <c:ptCount val="2"/>
                <c:pt idx="0" formatCode="General">
                  <c:v>600796</c:v>
                </c:pt>
                <c:pt idx="1">
                  <c:v>2929162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DF-4131-9DC0-C046311B0A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/>
              </a:rPr>
              <a:t>Receita Líquita do Produto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92-4C7A-AA18-A1A9299A53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92-4C7A-AA18-A1A9299A537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(Planilha1!$A$19,Planilha1!$A$22)</c:f>
              <c:strCache>
                <c:ptCount val="2"/>
                <c:pt idx="0">
                  <c:v>Repasses</c:v>
                </c:pt>
                <c:pt idx="1">
                  <c:v>Receita Liquida</c:v>
                </c:pt>
              </c:strCache>
            </c:strRef>
          </c:cat>
          <c:val>
            <c:numRef>
              <c:f>(Planilha1!$D$19,Planilha1!$D$22)</c:f>
              <c:numCache>
                <c:formatCode>_ "¥"* #,##0.00_ ;_ "¥"* \-#,##0.00_ ;_ "¥"* "-"??_ ;_ @_ </c:formatCode>
                <c:ptCount val="2"/>
                <c:pt idx="0" formatCode="General">
                  <c:v>420212</c:v>
                </c:pt>
                <c:pt idx="1">
                  <c:v>2902004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92-4C7A-AA18-A1A9299A53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Participação</a:t>
            </a:r>
            <a:r>
              <a:rPr lang="pt-BR" baseline="0"/>
              <a:t> Diária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24-4F90-AC20-2CDA63F9C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24-4F90-AC20-2CDA63F9C1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24-4F90-AC20-2CDA63F9C1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(Planilha1!$B$23,Planilha1!$C$23,Planilha1!$D$23)</c:f>
              <c:strCache>
                <c:ptCount val="3"/>
                <c:pt idx="0">
                  <c:v>Manha</c:v>
                </c:pt>
                <c:pt idx="1">
                  <c:v>Tarde</c:v>
                </c:pt>
                <c:pt idx="2">
                  <c:v>Noite</c:v>
                </c:pt>
              </c:strCache>
            </c:strRef>
          </c:cat>
          <c:val>
            <c:numRef>
              <c:f>(Planilha1!$B$24,Planilha1!$C$24,Planilha1!$D$24)</c:f>
              <c:numCache>
                <c:formatCode>General</c:formatCode>
                <c:ptCount val="3"/>
                <c:pt idx="0">
                  <c:v>13123</c:v>
                </c:pt>
                <c:pt idx="1">
                  <c:v>14312</c:v>
                </c:pt>
                <c:pt idx="2">
                  <c:v>24124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24-4F90-AC20-2CDA63F9C14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Participação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(Planilha1!$B$25,Planilha1!$C$25,Planilha1!$D$25,Planilha1!$E$25,Planilha1!$F$25,Planilha1!$G$25,Planilha1!$H$25)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(Planilha1!$B$26,Planilha1!$C$26,Planilha1!$D$26,Planilha1!$E$26,Planilha1!$F$26,Planilha1!$G$26,Planilha1!$H$26)</c:f>
              <c:numCache>
                <c:formatCode>General</c:formatCode>
                <c:ptCount val="7"/>
                <c:pt idx="0">
                  <c:v>122213</c:v>
                </c:pt>
                <c:pt idx="1">
                  <c:v>122132</c:v>
                </c:pt>
                <c:pt idx="2">
                  <c:v>241424</c:v>
                </c:pt>
                <c:pt idx="3">
                  <c:v>121312</c:v>
                </c:pt>
                <c:pt idx="4">
                  <c:v>341214</c:v>
                </c:pt>
                <c:pt idx="5">
                  <c:v>123132</c:v>
                </c:pt>
                <c:pt idx="6">
                  <c:v>132132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3-4AA0-B54A-83B474ABFB1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</c:dLbls>
        <c:gapWidth val="150"/>
        <c:axId val="2056036064"/>
        <c:axId val="2104383264"/>
      </c:barChart>
      <c:catAx>
        <c:axId val="205603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04383264"/>
        <c:crosses val="autoZero"/>
        <c:auto val="1"/>
        <c:lblAlgn val="ctr"/>
        <c:lblOffset val="100"/>
        <c:noMultiLvlLbl val="0"/>
      </c:catAx>
      <c:valAx>
        <c:axId val="210438326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603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Ticket Medio Total </a:t>
            </a:r>
            <a:endParaRPr lang="zh-CN" altLang="en-US"/>
          </a:p>
        </c:rich>
      </c:tx>
      <c:layout>
        <c:manualLayout>
          <c:xMode val="edge"/>
          <c:yMode val="edge"/>
          <c:x val="0.79279062558125113"/>
          <c:y val="0.152777777777777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92879700197904"/>
          <c:y val="5.0925925925925923E-2"/>
          <c:w val="0.62562333850028384"/>
          <c:h val="0.73434237386993295"/>
        </c:manualLayout>
      </c:layout>
      <c:lineChart>
        <c:grouping val="standard"/>
        <c:varyColors val="0"/>
        <c:ser>
          <c:idx val="4"/>
          <c:order val="0"/>
          <c:tx>
            <c:strRef>
              <c:f>Planilha1!$A$28</c:f>
              <c:strCache>
                <c:ptCount val="1"/>
                <c:pt idx="0">
                  <c:v>Ticket Medio Diária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Planilha1!$B$28:$H$28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Ref>
              <c:f>Planilha1!$B$31:$H$31</c:f>
              <c:numCache>
                <c:formatCode>_ "¥"* #,##0.00_ ;_ "¥"* \-#,##0.00_ ;_ "¥"* "-"??_ ;_ @_ </c:formatCode>
                <c:ptCount val="7"/>
                <c:pt idx="0">
                  <c:v>8500</c:v>
                </c:pt>
                <c:pt idx="1">
                  <c:v>18700</c:v>
                </c:pt>
                <c:pt idx="2">
                  <c:v>13333.333333333334</c:v>
                </c:pt>
                <c:pt idx="3">
                  <c:v>12500</c:v>
                </c:pt>
                <c:pt idx="4">
                  <c:v>1175</c:v>
                </c:pt>
                <c:pt idx="5">
                  <c:v>2307.6923076923076</c:v>
                </c:pt>
                <c:pt idx="6">
                  <c:v>1902.3809523809523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1-4DDB-B1CD-12494184FBE9}"/>
            </c:ext>
          </c:extLst>
        </c:ser>
        <c:ser>
          <c:idx val="5"/>
          <c:order val="1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Planilha1!$B$28:$H$28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691-4DDB-B1CD-12494184FBE9}"/>
            </c:ext>
          </c:extLst>
        </c:ser>
        <c:ser>
          <c:idx val="7"/>
          <c:order val="2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Planilha1!$B$28:$H$28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7691-4DDB-B1CD-12494184FBE9}"/>
            </c:ext>
          </c:extLst>
        </c:ser>
        <c:ser>
          <c:idx val="2"/>
          <c:order val="3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Planilha1!$B$28:$H$28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7691-4DDB-B1CD-12494184FBE9}"/>
            </c:ext>
          </c:extLst>
        </c:ser>
        <c:ser>
          <c:idx val="3"/>
          <c:order val="4"/>
          <c:tx>
            <c:strRef>
              <c:f>Planilha1!$A$7</c:f>
              <c:strCache>
                <c:ptCount val="1"/>
                <c:pt idx="0">
                  <c:v>Receita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Planilha1!$B$28:$H$28</c:f>
              <c:strCache>
                <c:ptCount val="7"/>
                <c:pt idx="0">
                  <c:v>Seg</c:v>
                </c:pt>
                <c:pt idx="1">
                  <c:v>Ter</c:v>
                </c:pt>
                <c:pt idx="2">
                  <c:v>Qua</c:v>
                </c:pt>
                <c:pt idx="3">
                  <c:v>Qui</c:v>
                </c:pt>
                <c:pt idx="4">
                  <c:v>Sex</c:v>
                </c:pt>
                <c:pt idx="5">
                  <c:v>Sab</c:v>
                </c:pt>
                <c:pt idx="6">
                  <c:v>Dom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7691-4DDB-B1CD-12494184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096640"/>
        <c:axId val="530106240"/>
      </c:lineChart>
      <c:catAx>
        <c:axId val="53009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106240"/>
        <c:crosses val="autoZero"/>
        <c:auto val="1"/>
        <c:lblAlgn val="ctr"/>
        <c:lblOffset val="100"/>
        <c:noMultiLvlLbl val="0"/>
      </c:catAx>
      <c:valAx>
        <c:axId val="530106240"/>
        <c:scaling>
          <c:orientation val="minMax"/>
        </c:scaling>
        <c:delete val="0"/>
        <c:axPos val="l"/>
        <c:numFmt formatCode="_ &quot;¥&quot;* #,##0.00_ ;_ &quot;¥&quot;* \-#,##0.00_ ;_ &quot;¥&quot;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009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2483201780045479"/>
          <c:y val="0.35061242344706911"/>
          <c:w val="0.14545956698776205"/>
          <c:h val="0.24086458330601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Top 5 de Participação do Categotia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/>
            <c:extLst>
              <c:ext xmlns:c16="http://schemas.microsoft.com/office/drawing/2014/chart" uri="{C3380CC4-5D6E-409C-BE32-E72D297353CC}">
                <c16:uniqueId val="{00000018-B419-4D55-9E74-9AFB4118BB9C}"/>
              </c:ext>
            </c:extLst>
          </c:dPt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9-B419-4D55-9E74-9AFB4118BB9C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A-B419-4D55-9E74-9AFB4118BB9C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B-B419-4D55-9E74-9AFB4118BB9C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1C-B419-4D55-9E74-9AFB4118BB9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Planilha1!$B$32:$F$32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Planilha1!$B$33:$F$33</c:f>
              <c:numCache>
                <c:formatCode>General</c:formatCode>
                <c:ptCount val="5"/>
                <c:pt idx="0">
                  <c:v>123322</c:v>
                </c:pt>
                <c:pt idx="1">
                  <c:v>123132</c:v>
                </c:pt>
                <c:pt idx="2">
                  <c:v>234432</c:v>
                </c:pt>
                <c:pt idx="3">
                  <c:v>234324</c:v>
                </c:pt>
                <c:pt idx="4">
                  <c:v>234432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419-4D55-9E74-9AFB4118BB9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19-4D55-9E74-9AFB4118BB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19-4D55-9E74-9AFB4118BB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19-4D55-9E74-9AFB4118BB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19-4D55-9E74-9AFB4118BB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419-4D55-9E74-9AFB4118BB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Planilha1!$B$32:$F$32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Planilha1!$B$33:$F$33</c:f>
              <c:numCache>
                <c:formatCode>General</c:formatCode>
                <c:ptCount val="5"/>
                <c:pt idx="0">
                  <c:v>123322</c:v>
                </c:pt>
                <c:pt idx="1">
                  <c:v>123132</c:v>
                </c:pt>
                <c:pt idx="2">
                  <c:v>234432</c:v>
                </c:pt>
                <c:pt idx="3">
                  <c:v>234324</c:v>
                </c:pt>
                <c:pt idx="4">
                  <c:v>234432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419-4D55-9E74-9AFB4118BB9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100"/>
              <a:t>Top 5 de Receita do Categotia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/>
            <c:extLst>
              <c:ext xmlns:c16="http://schemas.microsoft.com/office/drawing/2014/chart" uri="{C3380CC4-5D6E-409C-BE32-E72D297353CC}">
                <c16:uniqueId val="{00000018-977B-4402-A409-3E845C167C6B}"/>
              </c:ext>
            </c:extLst>
          </c:dPt>
          <c:dPt>
            <c:idx val="1"/>
            <c:invertIfNegative val="0"/>
            <c:bubble3D val="0"/>
            <c:spPr/>
            <c:extLst>
              <c:ext xmlns:c16="http://schemas.microsoft.com/office/drawing/2014/chart" uri="{C3380CC4-5D6E-409C-BE32-E72D297353CC}">
                <c16:uniqueId val="{00000019-977B-4402-A409-3E845C167C6B}"/>
              </c:ext>
            </c:extLst>
          </c:dPt>
          <c:dPt>
            <c:idx val="2"/>
            <c:invertIfNegative val="0"/>
            <c:bubble3D val="0"/>
            <c:spPr/>
            <c:extLst>
              <c:ext xmlns:c16="http://schemas.microsoft.com/office/drawing/2014/chart" uri="{C3380CC4-5D6E-409C-BE32-E72D297353CC}">
                <c16:uniqueId val="{0000001A-977B-4402-A409-3E845C167C6B}"/>
              </c:ext>
            </c:extLst>
          </c:dPt>
          <c:dPt>
            <c:idx val="3"/>
            <c:invertIfNegative val="0"/>
            <c:bubble3D val="0"/>
            <c:spPr/>
            <c:extLst>
              <c:ext xmlns:c16="http://schemas.microsoft.com/office/drawing/2014/chart" uri="{C3380CC4-5D6E-409C-BE32-E72D297353CC}">
                <c16:uniqueId val="{0000001B-977B-4402-A409-3E845C167C6B}"/>
              </c:ext>
            </c:extLst>
          </c:dPt>
          <c:dPt>
            <c:idx val="4"/>
            <c:invertIfNegative val="0"/>
            <c:bubble3D val="0"/>
            <c:spPr/>
            <c:extLst>
              <c:ext xmlns:c16="http://schemas.microsoft.com/office/drawing/2014/chart" uri="{C3380CC4-5D6E-409C-BE32-E72D297353CC}">
                <c16:uniqueId val="{0000001C-977B-4402-A409-3E845C167C6B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Planilha1!$B$32:$F$32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Planilha1!$B$34:$F$34</c:f>
              <c:numCache>
                <c:formatCode>General</c:formatCode>
                <c:ptCount val="5"/>
                <c:pt idx="0">
                  <c:v>132312312</c:v>
                </c:pt>
                <c:pt idx="1">
                  <c:v>132321321</c:v>
                </c:pt>
                <c:pt idx="2">
                  <c:v>132132321</c:v>
                </c:pt>
                <c:pt idx="3">
                  <c:v>312312321</c:v>
                </c:pt>
                <c:pt idx="4">
                  <c:v>312312321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77B-4402-A409-3E845C167C6B}"/>
            </c:ext>
          </c:extLst>
        </c:ser>
        <c:ser>
          <c:idx val="1"/>
          <c:order val="1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77B-4402-A409-3E845C167C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77B-4402-A409-3E845C167C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77B-4402-A409-3E845C167C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77B-4402-A409-3E845C167C6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77B-4402-A409-3E845C167C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Planilha1!$B$32:$F$32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Planilha1!$B$33:$F$33</c:f>
              <c:numCache>
                <c:formatCode>General</c:formatCode>
                <c:ptCount val="5"/>
                <c:pt idx="0">
                  <c:v>123322</c:v>
                </c:pt>
                <c:pt idx="1">
                  <c:v>123132</c:v>
                </c:pt>
                <c:pt idx="2">
                  <c:v>234432</c:v>
                </c:pt>
                <c:pt idx="3">
                  <c:v>234324</c:v>
                </c:pt>
                <c:pt idx="4">
                  <c:v>234432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7B-4402-A409-3E845C167C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888384"/>
        <c:axId val="177600080"/>
      </c:barChart>
      <c:valAx>
        <c:axId val="17760008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4888384"/>
        <c:crosses val="autoZero"/>
        <c:crossBetween val="between"/>
      </c:valAx>
      <c:catAx>
        <c:axId val="548883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7600080"/>
        <c:crosses val="autoZero"/>
        <c:auto val="1"/>
        <c:lblAlgn val="ctr"/>
        <c:lblOffset val="100"/>
        <c:noMultiLvlLbl val="0"/>
      </c:cat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</a:t>
            </a:r>
            <a:r>
              <a:rPr lang="pt-BR" baseline="0"/>
              <a:t> Líquita Total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70-4579-B278-2516FC1060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70-4579-B278-2516FC1060AC}"/>
              </c:ext>
            </c:extLst>
          </c:dPt>
          <c:dLbls>
            <c:dLbl>
              <c:idx val="0"/>
              <c:layout>
                <c:manualLayout>
                  <c:x val="-0.3564060190040671"/>
                  <c:y val="-0.161244757864162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764320042427162"/>
                      <c:h val="0.24026624774606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F70-4579-B278-2516FC1060AC}"/>
                </c:ext>
              </c:extLst>
            </c:dLbl>
            <c:dLbl>
              <c:idx val="1"/>
              <c:layout>
                <c:manualLayout>
                  <c:x val="7.4524426054364698E-2"/>
                  <c:y val="0.263248589045391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875756416024085"/>
                      <c:h val="0.24026624774606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F70-4579-B278-2516FC1060AC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(Planilha1!$F$19,Planilha1!$F$20)</c:f>
              <c:strCache>
                <c:ptCount val="2"/>
                <c:pt idx="0">
                  <c:v>Receita</c:v>
                </c:pt>
                <c:pt idx="1">
                  <c:v>Repasses</c:v>
                </c:pt>
              </c:strCache>
            </c:strRef>
          </c:cat>
          <c:val>
            <c:numRef>
              <c:f>(Planilha1!$G$19,Planilha1!$G$20)</c:f>
              <c:numCache>
                <c:formatCode>_ "¥"* #,##0.00_ ;_ "¥"* \-#,##0.00_ ;_ "¥"* "-"??_ ;_ @_ </c:formatCode>
                <c:ptCount val="2"/>
                <c:pt idx="0">
                  <c:v>16265668</c:v>
                </c:pt>
                <c:pt idx="1">
                  <c:v>6030998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70-4579-B278-2516FC1060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21" Type="http://schemas.openxmlformats.org/officeDocument/2006/relationships/chart" Target="../charts/chart19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20" Type="http://schemas.openxmlformats.org/officeDocument/2006/relationships/chart" Target="../charts/chart18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19" Type="http://schemas.openxmlformats.org/officeDocument/2006/relationships/chart" Target="../charts/chart17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14" Type="http://schemas.openxmlformats.org/officeDocument/2006/relationships/chart" Target="../charts/chart12.xml"/><Relationship Id="rId22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590550</xdr:colOff>
      <xdr:row>209</xdr:row>
      <xdr:rowOff>185736</xdr:rowOff>
    </xdr:from>
    <xdr:to>
      <xdr:col>80</xdr:col>
      <xdr:colOff>609599</xdr:colOff>
      <xdr:row>230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0720BA-C0B6-A126-5CF0-1B2AFD0A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66</xdr:col>
      <xdr:colOff>257175</xdr:colOff>
      <xdr:row>242</xdr:row>
      <xdr:rowOff>176212</xdr:rowOff>
    </xdr:from>
    <xdr:to>
      <xdr:col>73</xdr:col>
      <xdr:colOff>9525</xdr:colOff>
      <xdr:row>265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D87604-CFFD-365B-1D09-130290C0A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74</xdr:col>
      <xdr:colOff>400051</xdr:colOff>
      <xdr:row>242</xdr:row>
      <xdr:rowOff>161925</xdr:rowOff>
    </xdr:from>
    <xdr:to>
      <xdr:col>81</xdr:col>
      <xdr:colOff>95251</xdr:colOff>
      <xdr:row>265</xdr:row>
      <xdr:rowOff>76200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9D4DC26-4956-413F-B83A-F0C86D3AA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57</xdr:col>
      <xdr:colOff>581025</xdr:colOff>
      <xdr:row>242</xdr:row>
      <xdr:rowOff>152400</xdr:rowOff>
    </xdr:from>
    <xdr:to>
      <xdr:col>64</xdr:col>
      <xdr:colOff>333375</xdr:colOff>
      <xdr:row>265</xdr:row>
      <xdr:rowOff>71438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84872A2-48FA-47B3-8CA4-6C19E06E2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58</xdr:col>
      <xdr:colOff>4762</xdr:colOff>
      <xdr:row>296</xdr:row>
      <xdr:rowOff>23812</xdr:rowOff>
    </xdr:from>
    <xdr:to>
      <xdr:col>81</xdr:col>
      <xdr:colOff>171450</xdr:colOff>
      <xdr:row>316</xdr:row>
      <xdr:rowOff>79375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20A06E4-7AEB-B8E5-1081-886C3DCA9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57</xdr:col>
      <xdr:colOff>585390</xdr:colOff>
      <xdr:row>266</xdr:row>
      <xdr:rowOff>176212</xdr:rowOff>
    </xdr:from>
    <xdr:to>
      <xdr:col>81</xdr:col>
      <xdr:colOff>119062</xdr:colOff>
      <xdr:row>281</xdr:row>
      <xdr:rowOff>91678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A829170-FEF7-AE5A-8D88-43ED2410D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601264</xdr:colOff>
      <xdr:row>342</xdr:row>
      <xdr:rowOff>136524</xdr:rowOff>
    </xdr:from>
    <xdr:to>
      <xdr:col>84</xdr:col>
      <xdr:colOff>19843</xdr:colOff>
      <xdr:row>362</xdr:row>
      <xdr:rowOff>188514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5790B11-919D-355E-30B1-9B0BD537E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58</xdr:col>
      <xdr:colOff>24259</xdr:colOff>
      <xdr:row>0</xdr:row>
      <xdr:rowOff>0</xdr:rowOff>
    </xdr:from>
    <xdr:to>
      <xdr:col>82</xdr:col>
      <xdr:colOff>193497</xdr:colOff>
      <xdr:row>42</xdr:row>
      <xdr:rowOff>123392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4C8F966-7D27-439F-BF41-B0F6C1B4D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552259" y="0"/>
          <a:ext cx="14018145" cy="8124392"/>
        </a:xfrm>
        <a:prstGeom prst="rect">
          <a:avLst/>
        </a:prstGeom>
      </xdr:spPr>
    </xdr:pic>
    <xdr:clientData/>
  </xdr:twoCellAnchor>
  <xdr:twoCellAnchor editAs="oneCell">
    <xdr:from>
      <xdr:col>58</xdr:col>
      <xdr:colOff>95250</xdr:colOff>
      <xdr:row>41</xdr:row>
      <xdr:rowOff>123393</xdr:rowOff>
    </xdr:from>
    <xdr:to>
      <xdr:col>82</xdr:col>
      <xdr:colOff>98916</xdr:colOff>
      <xdr:row>97</xdr:row>
      <xdr:rowOff>28143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6C4EEA1-13A6-436A-905C-C53DC9B7B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3623250" y="7933893"/>
          <a:ext cx="13852573" cy="10858500"/>
        </a:xfrm>
        <a:prstGeom prst="rect">
          <a:avLst/>
        </a:prstGeom>
      </xdr:spPr>
    </xdr:pic>
    <xdr:clientData/>
  </xdr:twoCellAnchor>
  <xdr:twoCellAnchor>
    <xdr:from>
      <xdr:col>58</xdr:col>
      <xdr:colOff>204107</xdr:colOff>
      <xdr:row>98</xdr:row>
      <xdr:rowOff>176893</xdr:rowOff>
    </xdr:from>
    <xdr:to>
      <xdr:col>68</xdr:col>
      <xdr:colOff>375557</xdr:colOff>
      <xdr:row>111</xdr:row>
      <xdr:rowOff>143329</xdr:rowOff>
    </xdr:to>
    <xdr:graphicFrame macro="">
      <xdr:nvGraphicFramePr>
        <xdr:cNvPr id="20" name="图表 1">
          <a:extLst>
            <a:ext uri="{FF2B5EF4-FFF2-40B4-BE49-F238E27FC236}">
              <a16:creationId xmlns:a16="http://schemas.microsoft.com/office/drawing/2014/main" id="{4BFC31B6-C7D7-4465-B169-EB2C5E687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58</xdr:col>
      <xdr:colOff>19050</xdr:colOff>
      <xdr:row>114</xdr:row>
      <xdr:rowOff>6350</xdr:rowOff>
    </xdr:from>
    <xdr:to>
      <xdr:col>62</xdr:col>
      <xdr:colOff>228600</xdr:colOff>
      <xdr:row>129</xdr:row>
      <xdr:rowOff>82550</xdr:rowOff>
    </xdr:to>
    <xdr:graphicFrame macro="">
      <xdr:nvGraphicFramePr>
        <xdr:cNvPr id="21" name="图表 3">
          <a:extLst>
            <a:ext uri="{FF2B5EF4-FFF2-40B4-BE49-F238E27FC236}">
              <a16:creationId xmlns:a16="http://schemas.microsoft.com/office/drawing/2014/main" id="{359FD518-1CB4-4F91-A583-4A440A4E5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63</xdr:col>
      <xdr:colOff>0</xdr:colOff>
      <xdr:row>114</xdr:row>
      <xdr:rowOff>0</xdr:rowOff>
    </xdr:from>
    <xdr:to>
      <xdr:col>67</xdr:col>
      <xdr:colOff>209550</xdr:colOff>
      <xdr:row>129</xdr:row>
      <xdr:rowOff>76200</xdr:rowOff>
    </xdr:to>
    <xdr:graphicFrame macro="">
      <xdr:nvGraphicFramePr>
        <xdr:cNvPr id="22" name="图表 4">
          <a:extLst>
            <a:ext uri="{FF2B5EF4-FFF2-40B4-BE49-F238E27FC236}">
              <a16:creationId xmlns:a16="http://schemas.microsoft.com/office/drawing/2014/main" id="{D6CE4548-C5B5-4AA4-B4D6-32BC2DD95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67</xdr:col>
      <xdr:colOff>654050</xdr:colOff>
      <xdr:row>113</xdr:row>
      <xdr:rowOff>165100</xdr:rowOff>
    </xdr:from>
    <xdr:to>
      <xdr:col>72</xdr:col>
      <xdr:colOff>203200</xdr:colOff>
      <xdr:row>129</xdr:row>
      <xdr:rowOff>63500</xdr:rowOff>
    </xdr:to>
    <xdr:graphicFrame macro="">
      <xdr:nvGraphicFramePr>
        <xdr:cNvPr id="23" name="图表 5">
          <a:extLst>
            <a:ext uri="{FF2B5EF4-FFF2-40B4-BE49-F238E27FC236}">
              <a16:creationId xmlns:a16="http://schemas.microsoft.com/office/drawing/2014/main" id="{87A20992-B524-40EE-881B-9EFD9BBBB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25400</xdr:colOff>
      <xdr:row>131</xdr:row>
      <xdr:rowOff>88900</xdr:rowOff>
    </xdr:from>
    <xdr:to>
      <xdr:col>62</xdr:col>
      <xdr:colOff>234950</xdr:colOff>
      <xdr:row>146</xdr:row>
      <xdr:rowOff>165100</xdr:rowOff>
    </xdr:to>
    <xdr:graphicFrame macro="">
      <xdr:nvGraphicFramePr>
        <xdr:cNvPr id="24" name="图表 6">
          <a:extLst>
            <a:ext uri="{FF2B5EF4-FFF2-40B4-BE49-F238E27FC236}">
              <a16:creationId xmlns:a16="http://schemas.microsoft.com/office/drawing/2014/main" id="{C7E504D1-27D9-4867-AB0B-490303232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63</xdr:col>
      <xdr:colOff>9270</xdr:colOff>
      <xdr:row>131</xdr:row>
      <xdr:rowOff>88066</xdr:rowOff>
    </xdr:from>
    <xdr:to>
      <xdr:col>67</xdr:col>
      <xdr:colOff>218820</xdr:colOff>
      <xdr:row>146</xdr:row>
      <xdr:rowOff>164266</xdr:rowOff>
    </xdr:to>
    <xdr:graphicFrame macro="">
      <xdr:nvGraphicFramePr>
        <xdr:cNvPr id="25" name="图表 7">
          <a:extLst>
            <a:ext uri="{FF2B5EF4-FFF2-40B4-BE49-F238E27FC236}">
              <a16:creationId xmlns:a16="http://schemas.microsoft.com/office/drawing/2014/main" id="{2BCD0615-CB3C-4BF3-96CF-8B08E4721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68</xdr:col>
      <xdr:colOff>10496</xdr:colOff>
      <xdr:row>131</xdr:row>
      <xdr:rowOff>83966</xdr:rowOff>
    </xdr:from>
    <xdr:to>
      <xdr:col>72</xdr:col>
      <xdr:colOff>220046</xdr:colOff>
      <xdr:row>146</xdr:row>
      <xdr:rowOff>160166</xdr:rowOff>
    </xdr:to>
    <xdr:graphicFrame macro="">
      <xdr:nvGraphicFramePr>
        <xdr:cNvPr id="26" name="图表 8">
          <a:extLst>
            <a:ext uri="{FF2B5EF4-FFF2-40B4-BE49-F238E27FC236}">
              <a16:creationId xmlns:a16="http://schemas.microsoft.com/office/drawing/2014/main" id="{1662BFB8-CD4D-4CB0-8488-07C9454E5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57</xdr:col>
      <xdr:colOff>622300</xdr:colOff>
      <xdr:row>148</xdr:row>
      <xdr:rowOff>0</xdr:rowOff>
    </xdr:from>
    <xdr:to>
      <xdr:col>62</xdr:col>
      <xdr:colOff>171450</xdr:colOff>
      <xdr:row>163</xdr:row>
      <xdr:rowOff>76200</xdr:rowOff>
    </xdr:to>
    <xdr:graphicFrame macro="">
      <xdr:nvGraphicFramePr>
        <xdr:cNvPr id="27" name="图表 9">
          <a:extLst>
            <a:ext uri="{FF2B5EF4-FFF2-40B4-BE49-F238E27FC236}">
              <a16:creationId xmlns:a16="http://schemas.microsoft.com/office/drawing/2014/main" id="{147DDCDC-8336-4296-B110-155F3EB26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63</xdr:col>
      <xdr:colOff>6287</xdr:colOff>
      <xdr:row>148</xdr:row>
      <xdr:rowOff>18861</xdr:rowOff>
    </xdr:from>
    <xdr:to>
      <xdr:col>67</xdr:col>
      <xdr:colOff>215586</xdr:colOff>
      <xdr:row>163</xdr:row>
      <xdr:rowOff>95061</xdr:rowOff>
    </xdr:to>
    <xdr:graphicFrame macro="">
      <xdr:nvGraphicFramePr>
        <xdr:cNvPr id="28" name="图表 10">
          <a:extLst>
            <a:ext uri="{FF2B5EF4-FFF2-40B4-BE49-F238E27FC236}">
              <a16:creationId xmlns:a16="http://schemas.microsoft.com/office/drawing/2014/main" id="{73DFD1A7-A08F-4B48-BBC9-6EC49831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58</xdr:col>
      <xdr:colOff>11544</xdr:colOff>
      <xdr:row>164</xdr:row>
      <xdr:rowOff>46182</xdr:rowOff>
    </xdr:from>
    <xdr:to>
      <xdr:col>72</xdr:col>
      <xdr:colOff>224118</xdr:colOff>
      <xdr:row>179</xdr:row>
      <xdr:rowOff>117764</xdr:rowOff>
    </xdr:to>
    <xdr:graphicFrame macro="">
      <xdr:nvGraphicFramePr>
        <xdr:cNvPr id="29" name="图表 12">
          <a:extLst>
            <a:ext uri="{FF2B5EF4-FFF2-40B4-BE49-F238E27FC236}">
              <a16:creationId xmlns:a16="http://schemas.microsoft.com/office/drawing/2014/main" id="{A1F75B58-DF4A-4437-8146-082452DAED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58</xdr:col>
      <xdr:colOff>3421</xdr:colOff>
      <xdr:row>181</xdr:row>
      <xdr:rowOff>15679</xdr:rowOff>
    </xdr:from>
    <xdr:to>
      <xdr:col>62</xdr:col>
      <xdr:colOff>199828</xdr:colOff>
      <xdr:row>196</xdr:row>
      <xdr:rowOff>91878</xdr:rowOff>
    </xdr:to>
    <xdr:graphicFrame macro="">
      <xdr:nvGraphicFramePr>
        <xdr:cNvPr id="30" name="图表 13">
          <a:extLst>
            <a:ext uri="{FF2B5EF4-FFF2-40B4-BE49-F238E27FC236}">
              <a16:creationId xmlns:a16="http://schemas.microsoft.com/office/drawing/2014/main" id="{64484DBF-8A93-4DD7-8338-42E1C1885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62</xdr:col>
      <xdr:colOff>604937</xdr:colOff>
      <xdr:row>181</xdr:row>
      <xdr:rowOff>1</xdr:rowOff>
    </xdr:from>
    <xdr:to>
      <xdr:col>72</xdr:col>
      <xdr:colOff>224118</xdr:colOff>
      <xdr:row>196</xdr:row>
      <xdr:rowOff>76200</xdr:rowOff>
    </xdr:to>
    <xdr:graphicFrame macro="">
      <xdr:nvGraphicFramePr>
        <xdr:cNvPr id="31" name="图表 14">
          <a:extLst>
            <a:ext uri="{FF2B5EF4-FFF2-40B4-BE49-F238E27FC236}">
              <a16:creationId xmlns:a16="http://schemas.microsoft.com/office/drawing/2014/main" id="{DEF267FE-7B9F-4137-A3CC-048C24C8F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67</xdr:col>
      <xdr:colOff>655485</xdr:colOff>
      <xdr:row>147</xdr:row>
      <xdr:rowOff>163872</xdr:rowOff>
    </xdr:from>
    <xdr:to>
      <xdr:col>72</xdr:col>
      <xdr:colOff>202472</xdr:colOff>
      <xdr:row>163</xdr:row>
      <xdr:rowOff>62545</xdr:rowOff>
    </xdr:to>
    <xdr:graphicFrame macro="">
      <xdr:nvGraphicFramePr>
        <xdr:cNvPr id="32" name="图表 15">
          <a:extLst>
            <a:ext uri="{FF2B5EF4-FFF2-40B4-BE49-F238E27FC236}">
              <a16:creationId xmlns:a16="http://schemas.microsoft.com/office/drawing/2014/main" id="{6D001E70-D332-4A30-B777-F778F59C6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G39:EG368"/>
  <sheetViews>
    <sheetView showGridLines="0" tabSelected="1" topLeftCell="BB320" zoomScale="51" zoomScaleNormal="51" workbookViewId="0">
      <selection activeCell="BS336" sqref="BS336"/>
    </sheetView>
  </sheetViews>
  <sheetFormatPr defaultRowHeight="15" x14ac:dyDescent="0.25"/>
  <cols>
    <col min="1" max="1" width="9.140625" style="2"/>
    <col min="2" max="2" width="10.7109375" style="2" customWidth="1"/>
    <col min="3" max="3" width="9.140625" style="2"/>
    <col min="4" max="4" width="9.7109375" style="2" bestFit="1" customWidth="1"/>
    <col min="5" max="5" width="9.140625" style="2"/>
    <col min="6" max="6" width="9.7109375" style="2" bestFit="1" customWidth="1"/>
    <col min="7" max="57" width="9.140625" style="2"/>
    <col min="58" max="58" width="9.140625" style="2" customWidth="1"/>
    <col min="59" max="59" width="11.140625" style="2" customWidth="1"/>
    <col min="60" max="16384" width="9.140625" style="2"/>
  </cols>
  <sheetData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71" ht="15" customHeight="1" x14ac:dyDescent="0.25"/>
    <row r="72" ht="15" customHeight="1" x14ac:dyDescent="0.25"/>
    <row r="73" ht="15" customHeight="1" x14ac:dyDescent="0.25"/>
    <row r="86" ht="18.75" customHeight="1" x14ac:dyDescent="0.25"/>
    <row r="87" ht="18.75" customHeight="1" x14ac:dyDescent="0.25"/>
    <row r="88" ht="18.75" customHeight="1" x14ac:dyDescent="0.25"/>
    <row r="100" spans="110:118" x14ac:dyDescent="0.25">
      <c r="DF100" s="11"/>
      <c r="DG100" s="11"/>
      <c r="DH100" s="11"/>
      <c r="DI100" s="11"/>
      <c r="DJ100" s="11"/>
      <c r="DK100" s="11"/>
      <c r="DL100" s="11"/>
      <c r="DM100" s="11"/>
      <c r="DN100" s="11"/>
    </row>
    <row r="101" spans="110:118" ht="15" customHeight="1" x14ac:dyDescent="0.25"/>
    <row r="102" spans="110:118" ht="15" customHeight="1" x14ac:dyDescent="0.25"/>
    <row r="103" spans="110:118" ht="15" customHeight="1" x14ac:dyDescent="0.25"/>
    <row r="104" spans="110:118" ht="15" customHeight="1" x14ac:dyDescent="0.25"/>
    <row r="105" spans="110:118" ht="15" customHeight="1" x14ac:dyDescent="0.25"/>
    <row r="106" spans="110:118" ht="15" customHeight="1" x14ac:dyDescent="0.25"/>
    <row r="108" spans="110:118" ht="15" customHeight="1" x14ac:dyDescent="0.25"/>
    <row r="109" spans="110:118" ht="15" customHeight="1" x14ac:dyDescent="0.25"/>
    <row r="110" spans="110:118" ht="15" customHeight="1" x14ac:dyDescent="0.25"/>
    <row r="111" spans="110:118" ht="15" customHeight="1" x14ac:dyDescent="0.25"/>
    <row r="112" spans="110:118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8.7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.75" customHeight="1" x14ac:dyDescent="0.25"/>
    <row r="130" ht="15.75" customHeight="1" x14ac:dyDescent="0.25"/>
    <row r="136" ht="15.75" customHeight="1" x14ac:dyDescent="0.25"/>
    <row r="137" ht="15.75" customHeight="1" x14ac:dyDescent="0.25"/>
    <row r="184" spans="135:137" x14ac:dyDescent="0.25">
      <c r="EE184" s="11"/>
      <c r="EF184" s="11"/>
      <c r="EG184" s="11"/>
    </row>
    <row r="195" spans="59:81" ht="15" customHeight="1" x14ac:dyDescent="0.25"/>
    <row r="196" spans="59:81" ht="15" customHeight="1" x14ac:dyDescent="0.25"/>
    <row r="197" spans="59:81" ht="15" customHeight="1" x14ac:dyDescent="0.25"/>
    <row r="198" spans="59:81" ht="15" customHeight="1" x14ac:dyDescent="0.25"/>
    <row r="199" spans="59:81" ht="15" customHeight="1" x14ac:dyDescent="0.25"/>
    <row r="200" spans="59:81" ht="15" customHeight="1" x14ac:dyDescent="0.25">
      <c r="BG200" s="17" t="s">
        <v>0</v>
      </c>
      <c r="BH200" s="17"/>
      <c r="BI200" s="17"/>
      <c r="BJ200" s="17"/>
      <c r="BK200" s="17"/>
      <c r="BL200" s="17"/>
      <c r="BM200" s="17"/>
    </row>
    <row r="201" spans="59:81" ht="18.75" customHeight="1" x14ac:dyDescent="0.25">
      <c r="BG201" s="17"/>
      <c r="BH201" s="17"/>
      <c r="BI201" s="17"/>
      <c r="BJ201" s="17"/>
      <c r="BK201" s="17"/>
      <c r="BL201" s="17"/>
      <c r="BM201" s="17"/>
    </row>
    <row r="202" spans="59:81" ht="18.75" customHeight="1" x14ac:dyDescent="0.25">
      <c r="BG202" s="17"/>
      <c r="BH202" s="17"/>
      <c r="BI202" s="17"/>
      <c r="BJ202" s="17"/>
      <c r="BK202" s="17"/>
      <c r="BL202" s="17"/>
      <c r="BM202" s="17"/>
    </row>
    <row r="204" spans="59:81" ht="26.25" customHeight="1" x14ac:dyDescent="0.25">
      <c r="BG204" s="16">
        <f>DADOS!B1/DADOS!B4</f>
        <v>0.2</v>
      </c>
      <c r="BH204" s="16"/>
      <c r="BI204" s="16"/>
      <c r="BJ204" s="16"/>
      <c r="BK204" s="16"/>
      <c r="BM204" s="16">
        <f>(DADOS!B1-DADOS!B3)/DADOS!B4</f>
        <v>0.1</v>
      </c>
      <c r="BN204" s="16"/>
      <c r="BO204" s="16"/>
      <c r="BP204" s="16"/>
      <c r="BQ204" s="16"/>
      <c r="BS204" s="16">
        <v>600.13</v>
      </c>
      <c r="BT204" s="16"/>
      <c r="BU204" s="16"/>
      <c r="BV204" s="16"/>
      <c r="BW204" s="16"/>
      <c r="BY204" s="16">
        <v>583.41</v>
      </c>
      <c r="BZ204" s="20"/>
      <c r="CA204" s="20"/>
      <c r="CB204" s="20"/>
      <c r="CC204" s="20"/>
    </row>
    <row r="205" spans="59:81" ht="26.25" customHeight="1" x14ac:dyDescent="0.25">
      <c r="BG205" s="16"/>
      <c r="BH205" s="16"/>
      <c r="BI205" s="16"/>
      <c r="BJ205" s="16"/>
      <c r="BK205" s="16"/>
      <c r="BM205" s="16"/>
      <c r="BN205" s="16"/>
      <c r="BO205" s="16"/>
      <c r="BP205" s="16"/>
      <c r="BQ205" s="16"/>
      <c r="BS205" s="16"/>
      <c r="BT205" s="16"/>
      <c r="BU205" s="16"/>
      <c r="BV205" s="16"/>
      <c r="BW205" s="16"/>
      <c r="BY205" s="20"/>
      <c r="BZ205" s="20"/>
      <c r="CA205" s="20"/>
      <c r="CB205" s="20"/>
      <c r="CC205" s="20"/>
    </row>
    <row r="206" spans="59:81" ht="26.25" customHeight="1" x14ac:dyDescent="0.25">
      <c r="BG206" s="16"/>
      <c r="BH206" s="16"/>
      <c r="BI206" s="16"/>
      <c r="BJ206" s="16"/>
      <c r="BK206" s="16"/>
      <c r="BM206" s="16"/>
      <c r="BN206" s="16"/>
      <c r="BO206" s="16"/>
      <c r="BP206" s="16"/>
      <c r="BQ206" s="16"/>
      <c r="BS206" s="16"/>
      <c r="BT206" s="16"/>
      <c r="BU206" s="16"/>
      <c r="BV206" s="16"/>
      <c r="BW206" s="16"/>
      <c r="BY206" s="20"/>
      <c r="BZ206" s="20"/>
      <c r="CA206" s="20"/>
      <c r="CB206" s="20"/>
      <c r="CC206" s="20"/>
    </row>
    <row r="207" spans="59:81" ht="26.25" customHeight="1" x14ac:dyDescent="0.25">
      <c r="BG207" s="16"/>
      <c r="BH207" s="16"/>
      <c r="BI207" s="16"/>
      <c r="BJ207" s="16"/>
      <c r="BK207" s="16"/>
      <c r="BM207" s="16"/>
      <c r="BN207" s="16"/>
      <c r="BO207" s="16"/>
      <c r="BP207" s="16"/>
      <c r="BQ207" s="16"/>
      <c r="BS207" s="16"/>
      <c r="BT207" s="16"/>
      <c r="BU207" s="16"/>
      <c r="BV207" s="16"/>
      <c r="BW207" s="16"/>
      <c r="BY207" s="20"/>
      <c r="BZ207" s="20"/>
      <c r="CA207" s="20"/>
      <c r="CB207" s="20"/>
      <c r="CC207" s="20"/>
    </row>
    <row r="208" spans="59:81" ht="15.75" customHeight="1" x14ac:dyDescent="0.25">
      <c r="BG208" s="15" t="s">
        <v>1</v>
      </c>
      <c r="BH208" s="15"/>
      <c r="BI208" s="15"/>
      <c r="BJ208" s="15"/>
      <c r="BK208" s="15"/>
      <c r="BM208" s="15" t="s">
        <v>2</v>
      </c>
      <c r="BN208" s="15"/>
      <c r="BO208" s="15"/>
      <c r="BP208" s="15"/>
      <c r="BQ208" s="15"/>
      <c r="BS208" s="15" t="s">
        <v>3</v>
      </c>
      <c r="BT208" s="15"/>
      <c r="BU208" s="15"/>
      <c r="BV208" s="15"/>
      <c r="BW208" s="15"/>
      <c r="BY208" s="21" t="s">
        <v>75</v>
      </c>
      <c r="BZ208" s="21"/>
      <c r="CA208" s="21"/>
      <c r="CB208" s="21"/>
      <c r="CC208" s="21"/>
    </row>
    <row r="209" spans="59:81" ht="15.75" customHeight="1" x14ac:dyDescent="0.25">
      <c r="BG209" s="15"/>
      <c r="BH209" s="15"/>
      <c r="BI209" s="15"/>
      <c r="BJ209" s="15"/>
      <c r="BK209" s="15"/>
      <c r="BM209" s="15"/>
      <c r="BN209" s="15"/>
      <c r="BO209" s="15"/>
      <c r="BP209" s="15"/>
      <c r="BQ209" s="15"/>
      <c r="BS209" s="15"/>
      <c r="BT209" s="15"/>
      <c r="BU209" s="15"/>
      <c r="BV209" s="15"/>
      <c r="BW209" s="15"/>
      <c r="BY209" s="21"/>
      <c r="BZ209" s="21"/>
      <c r="CA209" s="21"/>
      <c r="CB209" s="21"/>
      <c r="CC209" s="21"/>
    </row>
    <row r="226" spans="59:75" ht="15" customHeight="1" x14ac:dyDescent="0.25"/>
    <row r="227" spans="59:75" ht="15" customHeight="1" x14ac:dyDescent="0.25"/>
    <row r="228" spans="59:75" ht="15" customHeight="1" x14ac:dyDescent="0.25"/>
    <row r="229" spans="59:75" ht="15" customHeight="1" x14ac:dyDescent="0.25"/>
    <row r="230" spans="59:75" ht="15" customHeight="1" x14ac:dyDescent="0.25"/>
    <row r="231" spans="59:75" ht="15" customHeight="1" x14ac:dyDescent="0.25"/>
    <row r="232" spans="59:75" ht="15" customHeight="1" x14ac:dyDescent="0.25"/>
    <row r="233" spans="59:75" ht="15" customHeight="1" x14ac:dyDescent="0.25">
      <c r="BG233" s="17" t="s">
        <v>9</v>
      </c>
      <c r="BH233" s="17"/>
      <c r="BI233" s="17"/>
      <c r="BJ233" s="17"/>
      <c r="BK233" s="17"/>
      <c r="BL233" s="17"/>
      <c r="BM233" s="17"/>
    </row>
    <row r="234" spans="59:75" ht="15" customHeight="1" x14ac:dyDescent="0.25">
      <c r="BG234" s="17"/>
      <c r="BH234" s="17"/>
      <c r="BI234" s="17"/>
      <c r="BJ234" s="17"/>
      <c r="BK234" s="17"/>
      <c r="BL234" s="17"/>
      <c r="BM234" s="17"/>
    </row>
    <row r="235" spans="59:75" ht="15" customHeight="1" x14ac:dyDescent="0.25">
      <c r="BG235" s="17"/>
      <c r="BH235" s="17"/>
      <c r="BI235" s="17"/>
      <c r="BJ235" s="17"/>
      <c r="BK235" s="17"/>
      <c r="BL235" s="17"/>
      <c r="BM235" s="17"/>
    </row>
    <row r="237" spans="59:75" ht="26.25" customHeight="1" x14ac:dyDescent="0.25">
      <c r="BG237" s="18">
        <f>(DADOS!B4+DADOS!B5)/DADOS!B6</f>
        <v>5.666666666666667</v>
      </c>
      <c r="BH237" s="18"/>
      <c r="BI237" s="18"/>
      <c r="BJ237" s="18"/>
      <c r="BK237" s="18"/>
      <c r="BM237" s="18">
        <f>DADOS!B4/(DADOS!B4+DADOS!B5)</f>
        <v>0.98039215686274506</v>
      </c>
      <c r="BN237" s="18"/>
      <c r="BO237" s="18"/>
      <c r="BP237" s="18"/>
      <c r="BQ237" s="18"/>
      <c r="BS237" s="18">
        <f>DADOS!B2/DADOS!B6</f>
        <v>5.5555555555555554</v>
      </c>
      <c r="BT237" s="18"/>
      <c r="BU237" s="18"/>
      <c r="BV237" s="18"/>
      <c r="BW237" s="18"/>
    </row>
    <row r="238" spans="59:75" ht="15" customHeight="1" x14ac:dyDescent="0.25">
      <c r="BG238" s="18"/>
      <c r="BH238" s="18"/>
      <c r="BI238" s="18"/>
      <c r="BJ238" s="18"/>
      <c r="BK238" s="18"/>
      <c r="BM238" s="18"/>
      <c r="BN238" s="18"/>
      <c r="BO238" s="18"/>
      <c r="BP238" s="18"/>
      <c r="BQ238" s="18"/>
      <c r="BS238" s="18"/>
      <c r="BT238" s="18"/>
      <c r="BU238" s="18"/>
      <c r="BV238" s="18"/>
      <c r="BW238" s="18"/>
    </row>
    <row r="239" spans="59:75" ht="26.25" customHeight="1" x14ac:dyDescent="0.25">
      <c r="BG239" s="18"/>
      <c r="BH239" s="18"/>
      <c r="BI239" s="18"/>
      <c r="BJ239" s="18"/>
      <c r="BK239" s="18"/>
      <c r="BM239" s="18"/>
      <c r="BN239" s="18"/>
      <c r="BO239" s="18"/>
      <c r="BP239" s="18"/>
      <c r="BQ239" s="18"/>
      <c r="BS239" s="18"/>
      <c r="BT239" s="18"/>
      <c r="BU239" s="18"/>
      <c r="BV239" s="18"/>
      <c r="BW239" s="18"/>
    </row>
    <row r="240" spans="59:75" ht="26.25" customHeight="1" x14ac:dyDescent="0.25">
      <c r="BG240" s="18"/>
      <c r="BH240" s="18"/>
      <c r="BI240" s="18"/>
      <c r="BJ240" s="18"/>
      <c r="BK240" s="18"/>
      <c r="BM240" s="18"/>
      <c r="BN240" s="18"/>
      <c r="BO240" s="18"/>
      <c r="BP240" s="18"/>
      <c r="BQ240" s="18"/>
      <c r="BS240" s="18"/>
      <c r="BT240" s="18"/>
      <c r="BU240" s="18"/>
      <c r="BV240" s="18"/>
      <c r="BW240" s="18"/>
    </row>
    <row r="241" spans="59:75" ht="15.75" customHeight="1" x14ac:dyDescent="0.25">
      <c r="BG241" s="15" t="s">
        <v>11</v>
      </c>
      <c r="BH241" s="15"/>
      <c r="BI241" s="15"/>
      <c r="BJ241" s="15"/>
      <c r="BK241" s="15"/>
      <c r="BM241" s="15" t="s">
        <v>12</v>
      </c>
      <c r="BN241" s="15"/>
      <c r="BO241" s="15"/>
      <c r="BP241" s="15"/>
      <c r="BQ241" s="15"/>
      <c r="BS241" s="15" t="s">
        <v>13</v>
      </c>
      <c r="BT241" s="15"/>
      <c r="BU241" s="15"/>
      <c r="BV241" s="15"/>
      <c r="BW241" s="15"/>
    </row>
    <row r="242" spans="59:75" ht="15" customHeight="1" x14ac:dyDescent="0.25">
      <c r="BG242" s="15"/>
      <c r="BH242" s="15"/>
      <c r="BI242" s="15"/>
      <c r="BJ242" s="15"/>
      <c r="BK242" s="15"/>
      <c r="BM242" s="15"/>
      <c r="BN242" s="15"/>
      <c r="BO242" s="15"/>
      <c r="BP242" s="15"/>
      <c r="BQ242" s="15"/>
      <c r="BS242" s="15"/>
      <c r="BT242" s="15"/>
      <c r="BU242" s="15"/>
      <c r="BV242" s="15"/>
      <c r="BW242" s="15"/>
    </row>
    <row r="253" spans="59:75" ht="15" customHeight="1" x14ac:dyDescent="0.25"/>
    <row r="254" spans="59:75" ht="15" customHeight="1" x14ac:dyDescent="0.25"/>
    <row r="255" spans="59:75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2" ht="15" customHeight="1" x14ac:dyDescent="0.25"/>
    <row r="273" spans="59:75" ht="15" customHeight="1" x14ac:dyDescent="0.25"/>
    <row r="274" spans="59:75" ht="15" customHeight="1" x14ac:dyDescent="0.25"/>
    <row r="275" spans="59:75" ht="15" customHeight="1" x14ac:dyDescent="0.25"/>
    <row r="276" spans="59:75" ht="15" customHeight="1" x14ac:dyDescent="0.25"/>
    <row r="277" spans="59:75" ht="15" customHeight="1" x14ac:dyDescent="0.25"/>
    <row r="284" spans="59:75" ht="18.75" customHeight="1" x14ac:dyDescent="0.25">
      <c r="BG284" s="17" t="s">
        <v>14</v>
      </c>
      <c r="BH284" s="17"/>
      <c r="BI284" s="17"/>
      <c r="BJ284" s="17"/>
      <c r="BK284" s="17"/>
      <c r="BL284" s="17"/>
      <c r="BM284" s="17"/>
    </row>
    <row r="285" spans="59:75" ht="18.75" customHeight="1" x14ac:dyDescent="0.25">
      <c r="BG285" s="17"/>
      <c r="BH285" s="17"/>
      <c r="BI285" s="17"/>
      <c r="BJ285" s="17"/>
      <c r="BK285" s="17"/>
      <c r="BL285" s="17"/>
      <c r="BM285" s="17"/>
    </row>
    <row r="286" spans="59:75" ht="15" customHeight="1" x14ac:dyDescent="0.25">
      <c r="BG286" s="17"/>
      <c r="BH286" s="17"/>
      <c r="BI286" s="17"/>
      <c r="BJ286" s="17"/>
      <c r="BK286" s="17"/>
      <c r="BL286" s="17"/>
      <c r="BM286" s="17"/>
    </row>
    <row r="287" spans="59:75" ht="15" customHeight="1" x14ac:dyDescent="0.25"/>
    <row r="288" spans="59:75" ht="15" customHeight="1" x14ac:dyDescent="0.25">
      <c r="BG288" s="19">
        <v>496000</v>
      </c>
      <c r="BH288" s="19"/>
      <c r="BI288" s="19"/>
      <c r="BJ288" s="19"/>
      <c r="BK288" s="19"/>
      <c r="BM288" s="19">
        <v>489632</v>
      </c>
      <c r="BN288" s="19"/>
      <c r="BO288" s="19"/>
      <c r="BP288" s="19"/>
      <c r="BQ288" s="19"/>
      <c r="BS288" s="19">
        <v>6368</v>
      </c>
      <c r="BT288" s="19"/>
      <c r="BU288" s="19"/>
      <c r="BV288" s="19"/>
      <c r="BW288" s="19"/>
    </row>
    <row r="289" spans="59:75" ht="26.25" customHeight="1" x14ac:dyDescent="0.25">
      <c r="BG289" s="19"/>
      <c r="BH289" s="19"/>
      <c r="BI289" s="19"/>
      <c r="BJ289" s="19"/>
      <c r="BK289" s="19"/>
      <c r="BM289" s="19"/>
      <c r="BN289" s="19"/>
      <c r="BO289" s="19"/>
      <c r="BP289" s="19"/>
      <c r="BQ289" s="19"/>
      <c r="BS289" s="19"/>
      <c r="BT289" s="19"/>
      <c r="BU289" s="19"/>
      <c r="BV289" s="19"/>
      <c r="BW289" s="19"/>
    </row>
    <row r="290" spans="59:75" ht="15" customHeight="1" x14ac:dyDescent="0.25">
      <c r="BG290" s="19"/>
      <c r="BH290" s="19"/>
      <c r="BI290" s="19"/>
      <c r="BJ290" s="19"/>
      <c r="BK290" s="19"/>
      <c r="BM290" s="19"/>
      <c r="BN290" s="19"/>
      <c r="BO290" s="19"/>
      <c r="BP290" s="19"/>
      <c r="BQ290" s="19"/>
      <c r="BS290" s="19"/>
      <c r="BT290" s="19"/>
      <c r="BU290" s="19"/>
      <c r="BV290" s="19"/>
      <c r="BW290" s="19"/>
    </row>
    <row r="291" spans="59:75" ht="15" customHeight="1" x14ac:dyDescent="0.25">
      <c r="BG291" s="19"/>
      <c r="BH291" s="19"/>
      <c r="BI291" s="19"/>
      <c r="BJ291" s="19"/>
      <c r="BK291" s="19"/>
      <c r="BM291" s="19"/>
      <c r="BN291" s="19"/>
      <c r="BO291" s="19"/>
      <c r="BP291" s="19"/>
      <c r="BQ291" s="19"/>
      <c r="BS291" s="19"/>
      <c r="BT291" s="19"/>
      <c r="BU291" s="19"/>
      <c r="BV291" s="19"/>
      <c r="BW291" s="19"/>
    </row>
    <row r="292" spans="59:75" ht="15" customHeight="1" x14ac:dyDescent="0.25">
      <c r="BG292" s="15" t="s">
        <v>22</v>
      </c>
      <c r="BH292" s="15"/>
      <c r="BI292" s="15"/>
      <c r="BJ292" s="15"/>
      <c r="BK292" s="15"/>
      <c r="BM292" s="15" t="s">
        <v>23</v>
      </c>
      <c r="BN292" s="15"/>
      <c r="BO292" s="15"/>
      <c r="BP292" s="15"/>
      <c r="BQ292" s="15"/>
      <c r="BS292" s="15" t="s">
        <v>24</v>
      </c>
      <c r="BT292" s="15"/>
      <c r="BU292" s="15"/>
      <c r="BV292" s="15"/>
      <c r="BW292" s="15"/>
    </row>
    <row r="293" spans="59:75" ht="15" customHeight="1" x14ac:dyDescent="0.25">
      <c r="BG293" s="15"/>
      <c r="BH293" s="15"/>
      <c r="BI293" s="15"/>
      <c r="BJ293" s="15"/>
      <c r="BK293" s="15"/>
      <c r="BM293" s="15"/>
      <c r="BN293" s="15"/>
      <c r="BO293" s="15"/>
      <c r="BP293" s="15"/>
      <c r="BQ293" s="15"/>
      <c r="BS293" s="15"/>
      <c r="BT293" s="15"/>
      <c r="BU293" s="15"/>
      <c r="BV293" s="15"/>
      <c r="BW293" s="15"/>
    </row>
    <row r="294" spans="59:75" ht="15" customHeight="1" x14ac:dyDescent="0.25"/>
    <row r="295" spans="59:75" ht="15" customHeight="1" x14ac:dyDescent="0.25"/>
    <row r="308" spans="59:65" ht="15" customHeight="1" x14ac:dyDescent="0.25"/>
    <row r="309" spans="59:65" ht="15" customHeight="1" x14ac:dyDescent="0.25"/>
    <row r="310" spans="59:65" ht="15" customHeight="1" x14ac:dyDescent="0.25"/>
    <row r="319" spans="59:65" ht="18.75" customHeight="1" x14ac:dyDescent="0.25">
      <c r="BG319" s="17" t="s">
        <v>31</v>
      </c>
      <c r="BH319" s="17"/>
      <c r="BI319" s="17"/>
      <c r="BJ319" s="17"/>
      <c r="BK319" s="17"/>
      <c r="BL319" s="17"/>
      <c r="BM319" s="17"/>
    </row>
    <row r="320" spans="59:65" ht="18.75" customHeight="1" x14ac:dyDescent="0.25">
      <c r="BG320" s="17"/>
      <c r="BH320" s="17"/>
      <c r="BI320" s="17"/>
      <c r="BJ320" s="17"/>
      <c r="BK320" s="17"/>
      <c r="BL320" s="17"/>
      <c r="BM320" s="17"/>
    </row>
    <row r="321" spans="59:81" ht="18.75" customHeight="1" x14ac:dyDescent="0.25">
      <c r="BG321" s="17"/>
      <c r="BH321" s="17"/>
      <c r="BI321" s="17"/>
      <c r="BJ321" s="17"/>
      <c r="BK321" s="17"/>
      <c r="BL321" s="17"/>
      <c r="BM321" s="17"/>
    </row>
    <row r="323" spans="59:81" ht="26.25" customHeight="1" x14ac:dyDescent="0.25">
      <c r="BG323" s="19">
        <f>DADOS!B9/DADOS!D9</f>
        <v>20</v>
      </c>
      <c r="BH323" s="19"/>
      <c r="BI323" s="19"/>
      <c r="BJ323" s="19"/>
      <c r="BK323" s="19"/>
      <c r="BP323" s="19">
        <f>DADOS!B10/DADOS!C10</f>
        <v>4.282655246252677</v>
      </c>
      <c r="BQ323" s="19"/>
      <c r="BR323" s="19"/>
      <c r="BS323" s="19"/>
      <c r="BT323" s="19"/>
      <c r="BY323" s="19">
        <f>DADOS!B11/DADOS!C11</f>
        <v>242.42424242424244</v>
      </c>
      <c r="BZ323" s="19"/>
      <c r="CA323" s="19"/>
      <c r="CB323" s="19"/>
      <c r="CC323" s="19"/>
    </row>
    <row r="324" spans="59:81" ht="26.25" customHeight="1" x14ac:dyDescent="0.25">
      <c r="BG324" s="19"/>
      <c r="BH324" s="19"/>
      <c r="BI324" s="19"/>
      <c r="BJ324" s="19"/>
      <c r="BK324" s="19"/>
      <c r="BP324" s="19"/>
      <c r="BQ324" s="19"/>
      <c r="BR324" s="19"/>
      <c r="BS324" s="19"/>
      <c r="BT324" s="19"/>
      <c r="BY324" s="19"/>
      <c r="BZ324" s="19"/>
      <c r="CA324" s="19"/>
      <c r="CB324" s="19"/>
      <c r="CC324" s="19"/>
    </row>
    <row r="325" spans="59:81" ht="26.25" customHeight="1" x14ac:dyDescent="0.25">
      <c r="BG325" s="19"/>
      <c r="BH325" s="19"/>
      <c r="BI325" s="19"/>
      <c r="BJ325" s="19"/>
      <c r="BK325" s="19"/>
      <c r="BP325" s="19"/>
      <c r="BQ325" s="19"/>
      <c r="BR325" s="19"/>
      <c r="BS325" s="19"/>
      <c r="BT325" s="19"/>
      <c r="BY325" s="19"/>
      <c r="BZ325" s="19"/>
      <c r="CA325" s="19"/>
      <c r="CB325" s="19"/>
      <c r="CC325" s="19"/>
    </row>
    <row r="326" spans="59:81" ht="26.25" customHeight="1" x14ac:dyDescent="0.25">
      <c r="BG326" s="19"/>
      <c r="BH326" s="19"/>
      <c r="BI326" s="19"/>
      <c r="BJ326" s="19"/>
      <c r="BK326" s="19"/>
      <c r="BP326" s="19"/>
      <c r="BQ326" s="19"/>
      <c r="BR326" s="19"/>
      <c r="BS326" s="19"/>
      <c r="BT326" s="19"/>
      <c r="BY326" s="19"/>
      <c r="BZ326" s="19"/>
      <c r="CA326" s="19"/>
      <c r="CB326" s="19"/>
      <c r="CC326" s="19"/>
    </row>
    <row r="327" spans="59:81" ht="15.75" customHeight="1" x14ac:dyDescent="0.25">
      <c r="BG327" s="15" t="s">
        <v>32</v>
      </c>
      <c r="BH327" s="15"/>
      <c r="BI327" s="15"/>
      <c r="BJ327" s="15"/>
      <c r="BK327" s="15"/>
      <c r="BP327" s="15" t="s">
        <v>33</v>
      </c>
      <c r="BQ327" s="15"/>
      <c r="BR327" s="15"/>
      <c r="BS327" s="15"/>
      <c r="BT327" s="15"/>
      <c r="BY327" s="15" t="s">
        <v>34</v>
      </c>
      <c r="BZ327" s="15"/>
      <c r="CA327" s="15"/>
      <c r="CB327" s="15"/>
      <c r="CC327" s="15"/>
    </row>
    <row r="328" spans="59:81" ht="15.75" customHeight="1" x14ac:dyDescent="0.25">
      <c r="BG328" s="15"/>
      <c r="BH328" s="15"/>
      <c r="BI328" s="15"/>
      <c r="BJ328" s="15"/>
      <c r="BK328" s="15"/>
      <c r="BP328" s="15"/>
      <c r="BQ328" s="15"/>
      <c r="BR328" s="15"/>
      <c r="BS328" s="15"/>
      <c r="BT328" s="15"/>
      <c r="BY328" s="15"/>
      <c r="BZ328" s="15"/>
      <c r="CA328" s="15"/>
      <c r="CB328" s="15"/>
      <c r="CC328" s="15"/>
    </row>
    <row r="330" spans="59:81" ht="26.25" customHeight="1" x14ac:dyDescent="0.25">
      <c r="BK330" s="19">
        <v>81.180000000000007</v>
      </c>
      <c r="BL330" s="19"/>
      <c r="BM330" s="19"/>
      <c r="BN330" s="19"/>
      <c r="BO330" s="19"/>
      <c r="BU330" s="19">
        <v>422.1</v>
      </c>
      <c r="BV330" s="19"/>
      <c r="BW330" s="19"/>
      <c r="BX330" s="19"/>
      <c r="BY330" s="19"/>
    </row>
    <row r="331" spans="59:81" ht="26.25" customHeight="1" x14ac:dyDescent="0.25">
      <c r="BK331" s="19"/>
      <c r="BL331" s="19"/>
      <c r="BM331" s="19"/>
      <c r="BN331" s="19"/>
      <c r="BO331" s="19"/>
      <c r="BU331" s="19"/>
      <c r="BV331" s="19"/>
      <c r="BW331" s="19"/>
      <c r="BX331" s="19"/>
      <c r="BY331" s="19"/>
    </row>
    <row r="332" spans="59:81" ht="26.25" customHeight="1" x14ac:dyDescent="0.25">
      <c r="BK332" s="19"/>
      <c r="BL332" s="19"/>
      <c r="BM332" s="19"/>
      <c r="BN332" s="19"/>
      <c r="BO332" s="19"/>
      <c r="BU332" s="19"/>
      <c r="BV332" s="19"/>
      <c r="BW332" s="19"/>
      <c r="BX332" s="19"/>
      <c r="BY332" s="19"/>
    </row>
    <row r="333" spans="59:81" ht="26.25" customHeight="1" x14ac:dyDescent="0.25">
      <c r="BK333" s="19"/>
      <c r="BL333" s="19"/>
      <c r="BM333" s="19"/>
      <c r="BN333" s="19"/>
      <c r="BO333" s="19"/>
      <c r="BU333" s="19"/>
      <c r="BV333" s="19"/>
      <c r="BW333" s="19"/>
      <c r="BX333" s="19"/>
      <c r="BY333" s="19"/>
    </row>
    <row r="334" spans="59:81" ht="15.75" customHeight="1" x14ac:dyDescent="0.25">
      <c r="BK334" s="15" t="s">
        <v>38</v>
      </c>
      <c r="BL334" s="15"/>
      <c r="BM334" s="15"/>
      <c r="BN334" s="15"/>
      <c r="BO334" s="15"/>
      <c r="BU334" s="15" t="s">
        <v>39</v>
      </c>
      <c r="BV334" s="15"/>
      <c r="BW334" s="15"/>
      <c r="BX334" s="15"/>
      <c r="BY334" s="15"/>
    </row>
    <row r="335" spans="59:81" ht="15.75" customHeight="1" x14ac:dyDescent="0.25">
      <c r="BK335" s="15"/>
      <c r="BL335" s="15"/>
      <c r="BM335" s="15"/>
      <c r="BN335" s="15"/>
      <c r="BO335" s="15"/>
      <c r="BU335" s="15"/>
      <c r="BV335" s="15"/>
      <c r="BW335" s="15"/>
      <c r="BX335" s="15"/>
      <c r="BY335" s="15"/>
    </row>
    <row r="337" spans="59:84" x14ac:dyDescent="0.25">
      <c r="BG337" s="5"/>
      <c r="BH337" s="5"/>
      <c r="BI337" s="5" t="s">
        <v>16</v>
      </c>
      <c r="BJ337" s="5" t="s">
        <v>43</v>
      </c>
      <c r="BK337" s="5" t="s">
        <v>17</v>
      </c>
      <c r="BL337" s="5" t="s">
        <v>43</v>
      </c>
      <c r="BM337" s="5" t="s">
        <v>18</v>
      </c>
      <c r="BN337" s="5" t="s">
        <v>43</v>
      </c>
      <c r="BO337" s="5" t="s">
        <v>19</v>
      </c>
      <c r="BP337" s="5" t="s">
        <v>43</v>
      </c>
      <c r="BQ337" s="5" t="s">
        <v>20</v>
      </c>
      <c r="BR337" s="5" t="s">
        <v>43</v>
      </c>
      <c r="BS337" s="5" t="s">
        <v>21</v>
      </c>
      <c r="BT337" s="5" t="s">
        <v>43</v>
      </c>
      <c r="BU337" s="5" t="s">
        <v>25</v>
      </c>
      <c r="BV337" s="5" t="s">
        <v>43</v>
      </c>
      <c r="BW337" s="5" t="s">
        <v>26</v>
      </c>
      <c r="BX337" s="5" t="s">
        <v>43</v>
      </c>
      <c r="BY337" s="5" t="s">
        <v>27</v>
      </c>
      <c r="BZ337" s="5" t="s">
        <v>43</v>
      </c>
      <c r="CA337" s="5" t="s">
        <v>28</v>
      </c>
      <c r="CB337" s="5" t="s">
        <v>43</v>
      </c>
      <c r="CC337" s="5" t="s">
        <v>29</v>
      </c>
      <c r="CD337" s="5" t="s">
        <v>43</v>
      </c>
      <c r="CE337" s="5" t="s">
        <v>30</v>
      </c>
      <c r="CF337" s="5" t="s">
        <v>43</v>
      </c>
    </row>
    <row r="338" spans="59:84" x14ac:dyDescent="0.25">
      <c r="BG338" s="14" t="s">
        <v>32</v>
      </c>
      <c r="BH338" s="14"/>
      <c r="BI338" s="6">
        <v>5</v>
      </c>
      <c r="BJ338" s="7">
        <v>0.02</v>
      </c>
      <c r="BK338" s="6">
        <v>3</v>
      </c>
      <c r="BL338" s="8">
        <f>(1-(BK338/BI338))*(-1)</f>
        <v>-0.4</v>
      </c>
      <c r="BM338" s="5">
        <v>6</v>
      </c>
      <c r="BN338" s="7">
        <f>(1-(BM338/BK338))*(-1)</f>
        <v>1</v>
      </c>
      <c r="BO338" s="5">
        <v>6.1</v>
      </c>
      <c r="BP338" s="7">
        <f>(1-(BO338/BM338))*(-1)</f>
        <v>1.6666666666666607E-2</v>
      </c>
      <c r="BQ338" s="5">
        <v>7</v>
      </c>
      <c r="BR338" s="7">
        <f>(1-(BQ338/BO338))*(-1)</f>
        <v>0.14754098360655754</v>
      </c>
      <c r="BS338" s="5">
        <v>8</v>
      </c>
      <c r="BT338" s="7">
        <f>(1-(BS338/BQ338))*(-1)</f>
        <v>0.14285714285714279</v>
      </c>
      <c r="BU338" s="5">
        <v>6</v>
      </c>
      <c r="BV338" s="8">
        <f>(1-(BU338/BS338))*(-1)</f>
        <v>-0.25</v>
      </c>
      <c r="BW338" s="5">
        <v>4</v>
      </c>
      <c r="BX338" s="8">
        <f>(1-(BW338/BU338))*(-1)</f>
        <v>-0.33333333333333337</v>
      </c>
      <c r="BY338" s="5">
        <v>10</v>
      </c>
      <c r="BZ338" s="7">
        <f>(1-(BY338/BW338))*(-1)</f>
        <v>1.5</v>
      </c>
      <c r="CA338" s="5"/>
      <c r="CB338" s="8">
        <f>(1-(CA338/BY338))*(-1)</f>
        <v>-1</v>
      </c>
      <c r="CC338" s="5"/>
      <c r="CD338" s="8" t="e">
        <f>(1-(CC338/CA338))*(-1)</f>
        <v>#DIV/0!</v>
      </c>
      <c r="CE338" s="5"/>
      <c r="CF338" s="8" t="e">
        <f>(1-(CE338/CC338))*(-1)</f>
        <v>#DIV/0!</v>
      </c>
    </row>
    <row r="339" spans="59:84" x14ac:dyDescent="0.25">
      <c r="BG339" s="14" t="s">
        <v>33</v>
      </c>
      <c r="BH339" s="14"/>
      <c r="BI339" s="6">
        <v>1.2</v>
      </c>
      <c r="BJ339" s="7">
        <v>0.02</v>
      </c>
      <c r="BK339" s="6">
        <v>0.8</v>
      </c>
      <c r="BL339" s="8">
        <f t="shared" ref="BL339:CF342" si="0">(1-(BK339/BI339))*(-1)</f>
        <v>-0.33333333333333326</v>
      </c>
      <c r="BM339" s="5">
        <v>2.2000000000000002</v>
      </c>
      <c r="BN339" s="7">
        <f t="shared" si="0"/>
        <v>1.75</v>
      </c>
      <c r="BO339" s="5">
        <v>2.2999999999999998</v>
      </c>
      <c r="BP339" s="7">
        <f t="shared" si="0"/>
        <v>4.5454545454545192E-2</v>
      </c>
      <c r="BQ339" s="5">
        <v>3</v>
      </c>
      <c r="BR339" s="7">
        <f t="shared" si="0"/>
        <v>0.30434782608695654</v>
      </c>
      <c r="BS339" s="5">
        <v>4</v>
      </c>
      <c r="BT339" s="7">
        <f t="shared" si="0"/>
        <v>0.33333333333333326</v>
      </c>
      <c r="BU339" s="5">
        <v>2</v>
      </c>
      <c r="BV339" s="8">
        <f t="shared" si="0"/>
        <v>-0.5</v>
      </c>
      <c r="BW339" s="5">
        <v>3</v>
      </c>
      <c r="BX339" s="7">
        <f t="shared" si="0"/>
        <v>0.5</v>
      </c>
      <c r="BY339" s="5">
        <v>20</v>
      </c>
      <c r="BZ339" s="7">
        <f t="shared" si="0"/>
        <v>5.666666666666667</v>
      </c>
      <c r="CA339" s="5"/>
      <c r="CB339" s="8">
        <f t="shared" si="0"/>
        <v>-1</v>
      </c>
      <c r="CC339" s="5"/>
      <c r="CD339" s="8" t="e">
        <f t="shared" si="0"/>
        <v>#DIV/0!</v>
      </c>
      <c r="CE339" s="5"/>
      <c r="CF339" s="8" t="e">
        <f t="shared" si="0"/>
        <v>#DIV/0!</v>
      </c>
    </row>
    <row r="340" spans="59:84" x14ac:dyDescent="0.25">
      <c r="BG340" s="14" t="s">
        <v>34</v>
      </c>
      <c r="BH340" s="14"/>
      <c r="BI340" s="6">
        <v>80.42</v>
      </c>
      <c r="BJ340" s="7">
        <v>0.01</v>
      </c>
      <c r="BK340" s="6">
        <v>70.41</v>
      </c>
      <c r="BL340" s="8">
        <f t="shared" si="0"/>
        <v>-0.12447152449639398</v>
      </c>
      <c r="BM340" s="5">
        <v>50.41</v>
      </c>
      <c r="BN340" s="9">
        <f t="shared" si="0"/>
        <v>-0.28405056099985804</v>
      </c>
      <c r="BO340" s="5">
        <v>50.42</v>
      </c>
      <c r="BP340" s="7">
        <f t="shared" si="0"/>
        <v>1.9837333862349205E-4</v>
      </c>
      <c r="BQ340" s="5">
        <v>51</v>
      </c>
      <c r="BR340" s="7">
        <f t="shared" si="0"/>
        <v>1.1503371677905605E-2</v>
      </c>
      <c r="BS340" s="5">
        <v>52</v>
      </c>
      <c r="BT340" s="7">
        <f t="shared" si="0"/>
        <v>1.9607843137254832E-2</v>
      </c>
      <c r="BU340" s="5">
        <v>53</v>
      </c>
      <c r="BV340" s="7">
        <f t="shared" si="0"/>
        <v>1.9230769230769162E-2</v>
      </c>
      <c r="BW340" s="5">
        <v>58</v>
      </c>
      <c r="BX340" s="7">
        <f t="shared" si="0"/>
        <v>9.4339622641509413E-2</v>
      </c>
      <c r="BY340" s="5">
        <v>30</v>
      </c>
      <c r="BZ340" s="8">
        <f t="shared" si="0"/>
        <v>-0.48275862068965514</v>
      </c>
      <c r="CA340" s="5"/>
      <c r="CB340" s="8">
        <f t="shared" si="0"/>
        <v>-1</v>
      </c>
      <c r="CC340" s="5"/>
      <c r="CD340" s="8" t="e">
        <f t="shared" si="0"/>
        <v>#DIV/0!</v>
      </c>
      <c r="CE340" s="5"/>
      <c r="CF340" s="8" t="e">
        <f t="shared" si="0"/>
        <v>#DIV/0!</v>
      </c>
    </row>
    <row r="341" spans="59:84" x14ac:dyDescent="0.25">
      <c r="BG341" s="14" t="s">
        <v>38</v>
      </c>
      <c r="BH341" s="14"/>
      <c r="BI341" s="6">
        <v>24.4</v>
      </c>
      <c r="BJ341" s="7">
        <v>0.03</v>
      </c>
      <c r="BK341" s="6">
        <v>26.4</v>
      </c>
      <c r="BL341" s="7">
        <f t="shared" si="0"/>
        <v>8.1967213114754189E-2</v>
      </c>
      <c r="BM341" s="5">
        <v>24.4</v>
      </c>
      <c r="BN341" s="9">
        <f t="shared" si="0"/>
        <v>-7.5757575757575801E-2</v>
      </c>
      <c r="BO341" s="5">
        <v>24.9</v>
      </c>
      <c r="BP341" s="7">
        <f t="shared" si="0"/>
        <v>2.0491803278688492E-2</v>
      </c>
      <c r="BQ341" s="5">
        <v>26</v>
      </c>
      <c r="BR341" s="7">
        <f t="shared" si="0"/>
        <v>4.4176706827309342E-2</v>
      </c>
      <c r="BS341" s="5">
        <v>27</v>
      </c>
      <c r="BT341" s="7">
        <f t="shared" si="0"/>
        <v>3.8461538461538547E-2</v>
      </c>
      <c r="BU341" s="5">
        <v>28</v>
      </c>
      <c r="BV341" s="7">
        <f t="shared" si="0"/>
        <v>3.7037037037036979E-2</v>
      </c>
      <c r="BW341" s="5">
        <v>26</v>
      </c>
      <c r="BX341" s="9">
        <f t="shared" si="0"/>
        <v>-7.1428571428571397E-2</v>
      </c>
      <c r="BY341" s="5">
        <v>40</v>
      </c>
      <c r="BZ341" s="7">
        <f t="shared" si="0"/>
        <v>0.53846153846153855</v>
      </c>
      <c r="CA341" s="5"/>
      <c r="CB341" s="7">
        <f t="shared" si="0"/>
        <v>-1</v>
      </c>
      <c r="CC341" s="5"/>
      <c r="CD341" s="7" t="e">
        <f t="shared" si="0"/>
        <v>#DIV/0!</v>
      </c>
      <c r="CE341" s="5"/>
      <c r="CF341" s="7" t="e">
        <f t="shared" si="0"/>
        <v>#DIV/0!</v>
      </c>
    </row>
    <row r="342" spans="59:84" x14ac:dyDescent="0.25">
      <c r="BG342" s="14" t="s">
        <v>39</v>
      </c>
      <c r="BH342" s="14"/>
      <c r="BI342" s="6">
        <v>40.21</v>
      </c>
      <c r="BJ342" s="7">
        <v>0.04</v>
      </c>
      <c r="BK342" s="6">
        <v>40.29</v>
      </c>
      <c r="BL342" s="7">
        <f t="shared" si="0"/>
        <v>1.9895548371051675E-3</v>
      </c>
      <c r="BM342" s="5">
        <v>4.2</v>
      </c>
      <c r="BN342" s="9">
        <f t="shared" si="0"/>
        <v>-0.89575577066269541</v>
      </c>
      <c r="BO342" s="5">
        <v>4.9000000000000004</v>
      </c>
      <c r="BP342" s="7">
        <f t="shared" si="0"/>
        <v>0.16666666666666674</v>
      </c>
      <c r="BQ342" s="5">
        <v>6</v>
      </c>
      <c r="BR342" s="7">
        <f t="shared" si="0"/>
        <v>0.22448979591836715</v>
      </c>
      <c r="BS342" s="5">
        <v>8</v>
      </c>
      <c r="BT342" s="7">
        <f t="shared" si="0"/>
        <v>0.33333333333333326</v>
      </c>
      <c r="BU342" s="5">
        <v>10</v>
      </c>
      <c r="BV342" s="7">
        <f t="shared" si="0"/>
        <v>0.25</v>
      </c>
      <c r="BW342" s="5">
        <v>9</v>
      </c>
      <c r="BX342" s="9">
        <f t="shared" si="0"/>
        <v>-9.9999999999999978E-2</v>
      </c>
      <c r="BY342" s="5">
        <v>50</v>
      </c>
      <c r="BZ342" s="7">
        <f t="shared" si="0"/>
        <v>4.5555555555555554</v>
      </c>
      <c r="CA342" s="5"/>
      <c r="CB342" s="7">
        <f t="shared" si="0"/>
        <v>-1</v>
      </c>
      <c r="CC342" s="5"/>
      <c r="CD342" s="7" t="e">
        <f t="shared" si="0"/>
        <v>#DIV/0!</v>
      </c>
      <c r="CE342" s="5"/>
      <c r="CF342" s="7" t="e">
        <f t="shared" si="0"/>
        <v>#DIV/0!</v>
      </c>
    </row>
    <row r="343" spans="59:84" x14ac:dyDescent="0.25">
      <c r="BJ343" s="4"/>
    </row>
    <row r="366" spans="59:65" ht="18.75" x14ac:dyDescent="0.25">
      <c r="BG366" s="1"/>
      <c r="BH366" s="1"/>
      <c r="BI366" s="1"/>
      <c r="BJ366" s="1"/>
      <c r="BK366" s="1"/>
      <c r="BL366" s="1"/>
      <c r="BM366" s="1"/>
    </row>
    <row r="367" spans="59:65" ht="18.75" x14ac:dyDescent="0.25">
      <c r="BG367" s="1"/>
      <c r="BH367" s="1"/>
      <c r="BI367" s="1"/>
      <c r="BJ367" s="1"/>
      <c r="BK367" s="1"/>
      <c r="BL367" s="1"/>
      <c r="BM367" s="1"/>
    </row>
    <row r="368" spans="59:65" ht="18.75" x14ac:dyDescent="0.25">
      <c r="BG368" s="1"/>
      <c r="BH368" s="1"/>
      <c r="BI368" s="1"/>
      <c r="BJ368" s="1"/>
      <c r="BK368" s="1"/>
      <c r="BL368" s="1"/>
      <c r="BM368" s="1"/>
    </row>
  </sheetData>
  <mergeCells count="39">
    <mergeCell ref="BG340:BH340"/>
    <mergeCell ref="BG341:BH341"/>
    <mergeCell ref="BG342:BH342"/>
    <mergeCell ref="BY204:CC207"/>
    <mergeCell ref="BY208:CC209"/>
    <mergeCell ref="BU330:BY333"/>
    <mergeCell ref="BU334:BY335"/>
    <mergeCell ref="BK334:BO335"/>
    <mergeCell ref="BK330:BO333"/>
    <mergeCell ref="BG338:BH338"/>
    <mergeCell ref="BG339:BH339"/>
    <mergeCell ref="BG323:BK326"/>
    <mergeCell ref="BG327:BK328"/>
    <mergeCell ref="BP323:BT326"/>
    <mergeCell ref="BP327:BT328"/>
    <mergeCell ref="BG319:BM321"/>
    <mergeCell ref="BY323:CC326"/>
    <mergeCell ref="BY327:CC328"/>
    <mergeCell ref="BG284:BM286"/>
    <mergeCell ref="BG288:BK291"/>
    <mergeCell ref="BG292:BK293"/>
    <mergeCell ref="BM288:BQ291"/>
    <mergeCell ref="BM292:BQ293"/>
    <mergeCell ref="BS288:BW291"/>
    <mergeCell ref="BS292:BW293"/>
    <mergeCell ref="BG233:BM235"/>
    <mergeCell ref="BG237:BK240"/>
    <mergeCell ref="BG241:BK242"/>
    <mergeCell ref="BM237:BQ240"/>
    <mergeCell ref="BM241:BQ242"/>
    <mergeCell ref="BS237:BW240"/>
    <mergeCell ref="BS241:BW242"/>
    <mergeCell ref="BG208:BK209"/>
    <mergeCell ref="BG204:BK207"/>
    <mergeCell ref="BG200:BM202"/>
    <mergeCell ref="BM204:BQ207"/>
    <mergeCell ref="BM208:BQ209"/>
    <mergeCell ref="BS204:BW207"/>
    <mergeCell ref="BS208:BW20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1EE9-E734-4CF7-9BB0-6FA167908AEC}">
  <sheetPr codeName="Planilha2"/>
  <dimension ref="A1:N43"/>
  <sheetViews>
    <sheetView workbookViewId="0">
      <selection activeCell="F20" sqref="F20"/>
    </sheetView>
  </sheetViews>
  <sheetFormatPr defaultRowHeight="15" x14ac:dyDescent="0.25"/>
  <sheetData>
    <row r="1" spans="1:14" x14ac:dyDescent="0.25">
      <c r="A1" t="s">
        <v>72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s="11"/>
    </row>
    <row r="2" spans="1:14" x14ac:dyDescent="0.25">
      <c r="A2" t="s">
        <v>44</v>
      </c>
      <c r="B2" s="13">
        <v>850000</v>
      </c>
      <c r="C2" s="13">
        <v>935000</v>
      </c>
      <c r="D2" s="13">
        <v>800000</v>
      </c>
      <c r="E2" s="13">
        <v>1000000</v>
      </c>
      <c r="F2" s="13">
        <v>235000</v>
      </c>
      <c r="G2" s="13">
        <v>600000</v>
      </c>
      <c r="H2" s="13">
        <v>799000</v>
      </c>
      <c r="I2" s="13">
        <v>589006</v>
      </c>
      <c r="J2" s="13">
        <v>496000</v>
      </c>
      <c r="K2" s="13">
        <v>1232000</v>
      </c>
      <c r="L2" s="13">
        <v>988600</v>
      </c>
      <c r="M2" s="13">
        <v>888888</v>
      </c>
      <c r="N2" s="11"/>
    </row>
    <row r="3" spans="1:14" x14ac:dyDescent="0.25">
      <c r="A3" s="11" t="s">
        <v>73</v>
      </c>
      <c r="B3">
        <v>100</v>
      </c>
      <c r="C3">
        <v>50</v>
      </c>
      <c r="D3">
        <v>60</v>
      </c>
      <c r="E3">
        <v>80</v>
      </c>
      <c r="F3">
        <v>200</v>
      </c>
      <c r="G3">
        <v>260</v>
      </c>
      <c r="H3">
        <v>420</v>
      </c>
      <c r="I3">
        <v>480</v>
      </c>
      <c r="J3">
        <v>557</v>
      </c>
      <c r="K3">
        <v>600</v>
      </c>
      <c r="L3">
        <v>700</v>
      </c>
      <c r="M3">
        <v>800</v>
      </c>
      <c r="N3" s="11"/>
    </row>
    <row r="4" spans="1:14" x14ac:dyDescent="0.25">
      <c r="A4" s="11" t="s">
        <v>51</v>
      </c>
      <c r="B4" s="12">
        <f t="shared" ref="B4:M4" si="0">B2/B3</f>
        <v>8500</v>
      </c>
      <c r="C4" s="12">
        <f t="shared" si="0"/>
        <v>18700</v>
      </c>
      <c r="D4" s="12">
        <f t="shared" si="0"/>
        <v>13333.333333333334</v>
      </c>
      <c r="E4" s="12">
        <f t="shared" si="0"/>
        <v>12500</v>
      </c>
      <c r="F4" s="12">
        <f t="shared" si="0"/>
        <v>1175</v>
      </c>
      <c r="G4" s="12">
        <f t="shared" si="0"/>
        <v>2307.6923076923076</v>
      </c>
      <c r="H4" s="12">
        <f t="shared" si="0"/>
        <v>1902.3809523809523</v>
      </c>
      <c r="I4" s="12">
        <f t="shared" si="0"/>
        <v>1227.0958333333333</v>
      </c>
      <c r="J4" s="12">
        <f t="shared" si="0"/>
        <v>890.48473967684026</v>
      </c>
      <c r="K4" s="12">
        <f t="shared" si="0"/>
        <v>2053.3333333333335</v>
      </c>
      <c r="L4" s="12">
        <f t="shared" si="0"/>
        <v>1412.2857142857142</v>
      </c>
      <c r="M4" s="12">
        <f t="shared" si="0"/>
        <v>1111.1099999999999</v>
      </c>
      <c r="N4" s="11"/>
    </row>
    <row r="5" spans="1:14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x14ac:dyDescent="0.25">
      <c r="A6" t="s">
        <v>71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25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s="11"/>
    </row>
    <row r="7" spans="1:14" x14ac:dyDescent="0.25">
      <c r="A7" t="s">
        <v>44</v>
      </c>
      <c r="B7" s="13">
        <v>100000</v>
      </c>
      <c r="C7" s="13">
        <v>50000</v>
      </c>
      <c r="D7" s="13">
        <v>100000</v>
      </c>
      <c r="E7" s="13">
        <v>600000</v>
      </c>
      <c r="F7" s="13">
        <v>543000</v>
      </c>
      <c r="G7" s="13">
        <v>45000</v>
      </c>
      <c r="H7" s="13">
        <v>102000</v>
      </c>
      <c r="I7" s="13">
        <v>150326</v>
      </c>
      <c r="J7" s="13">
        <v>489632</v>
      </c>
      <c r="K7" s="13">
        <v>400000</v>
      </c>
      <c r="L7" s="13">
        <v>450000</v>
      </c>
      <c r="M7" s="13">
        <v>500000</v>
      </c>
      <c r="N7" s="11"/>
    </row>
    <row r="8" spans="1:14" x14ac:dyDescent="0.25">
      <c r="A8" s="11" t="s">
        <v>73</v>
      </c>
      <c r="B8">
        <v>100</v>
      </c>
      <c r="C8">
        <v>50</v>
      </c>
      <c r="D8">
        <v>60</v>
      </c>
      <c r="E8">
        <v>80</v>
      </c>
      <c r="F8">
        <v>200</v>
      </c>
      <c r="G8">
        <v>260</v>
      </c>
      <c r="H8">
        <v>420</v>
      </c>
      <c r="I8">
        <v>480</v>
      </c>
      <c r="J8">
        <v>557</v>
      </c>
      <c r="K8">
        <v>600</v>
      </c>
      <c r="L8">
        <v>700</v>
      </c>
      <c r="M8">
        <v>800</v>
      </c>
      <c r="N8" s="11"/>
    </row>
    <row r="9" spans="1:14" x14ac:dyDescent="0.25">
      <c r="A9" s="11" t="s">
        <v>51</v>
      </c>
      <c r="B9" s="12">
        <f t="shared" ref="B9:M9" si="1">B7/B8</f>
        <v>1000</v>
      </c>
      <c r="C9" s="12">
        <f t="shared" si="1"/>
        <v>1000</v>
      </c>
      <c r="D9" s="12">
        <f t="shared" si="1"/>
        <v>1666.6666666666667</v>
      </c>
      <c r="E9" s="12">
        <f t="shared" si="1"/>
        <v>7500</v>
      </c>
      <c r="F9" s="12">
        <f t="shared" si="1"/>
        <v>2715</v>
      </c>
      <c r="G9" s="12">
        <f t="shared" si="1"/>
        <v>173.07692307692307</v>
      </c>
      <c r="H9" s="12">
        <f t="shared" si="1"/>
        <v>242.85714285714286</v>
      </c>
      <c r="I9" s="12">
        <f t="shared" si="1"/>
        <v>313.17916666666667</v>
      </c>
      <c r="J9" s="12">
        <f t="shared" si="1"/>
        <v>879.05206463195691</v>
      </c>
      <c r="K9" s="12">
        <f t="shared" si="1"/>
        <v>666.66666666666663</v>
      </c>
      <c r="L9" s="12">
        <f t="shared" si="1"/>
        <v>642.85714285714289</v>
      </c>
      <c r="M9" s="12">
        <f t="shared" si="1"/>
        <v>625</v>
      </c>
      <c r="N9" s="11"/>
    </row>
    <row r="10" spans="1:14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x14ac:dyDescent="0.25">
      <c r="A11" t="s">
        <v>74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25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s="11"/>
    </row>
    <row r="12" spans="1:14" x14ac:dyDescent="0.25">
      <c r="A12" t="s">
        <v>44</v>
      </c>
      <c r="B12" s="13">
        <v>242343</v>
      </c>
      <c r="C12" s="13">
        <v>43243</v>
      </c>
      <c r="D12" s="13">
        <v>234432</v>
      </c>
      <c r="E12" s="13">
        <v>234432</v>
      </c>
      <c r="F12" s="13">
        <v>424223</v>
      </c>
      <c r="G12" s="13">
        <v>23532</v>
      </c>
      <c r="H12" s="13">
        <v>233243</v>
      </c>
      <c r="I12" s="13">
        <v>342234</v>
      </c>
      <c r="J12" s="13">
        <v>423234</v>
      </c>
      <c r="K12" s="13">
        <v>243432</v>
      </c>
      <c r="L12" s="13">
        <v>533534</v>
      </c>
      <c r="M12" s="13">
        <v>344334</v>
      </c>
      <c r="N12" s="11"/>
    </row>
    <row r="13" spans="1:14" x14ac:dyDescent="0.25">
      <c r="A13" s="11" t="s">
        <v>73</v>
      </c>
      <c r="B13">
        <v>100</v>
      </c>
      <c r="C13">
        <v>50</v>
      </c>
      <c r="D13">
        <v>60</v>
      </c>
      <c r="E13">
        <v>80</v>
      </c>
      <c r="F13">
        <v>200</v>
      </c>
      <c r="G13">
        <v>260</v>
      </c>
      <c r="H13">
        <v>420</v>
      </c>
      <c r="I13">
        <v>480</v>
      </c>
      <c r="J13">
        <v>557</v>
      </c>
      <c r="K13">
        <v>600</v>
      </c>
      <c r="L13">
        <v>700</v>
      </c>
      <c r="M13">
        <v>800</v>
      </c>
      <c r="N13" s="11"/>
    </row>
    <row r="14" spans="1:14" x14ac:dyDescent="0.25">
      <c r="A14" s="11" t="s">
        <v>51</v>
      </c>
      <c r="B14" s="12">
        <f t="shared" ref="B14:M14" si="2">B12/B13</f>
        <v>2423.4299999999998</v>
      </c>
      <c r="C14" s="12">
        <f t="shared" si="2"/>
        <v>864.86</v>
      </c>
      <c r="D14" s="12">
        <f t="shared" si="2"/>
        <v>3907.2</v>
      </c>
      <c r="E14" s="12">
        <f t="shared" si="2"/>
        <v>2930.4</v>
      </c>
      <c r="F14" s="12">
        <f t="shared" si="2"/>
        <v>2121.1149999999998</v>
      </c>
      <c r="G14" s="12">
        <f t="shared" si="2"/>
        <v>90.507692307692309</v>
      </c>
      <c r="H14" s="12">
        <f t="shared" si="2"/>
        <v>555.34047619047624</v>
      </c>
      <c r="I14" s="12">
        <f t="shared" si="2"/>
        <v>712.98749999999995</v>
      </c>
      <c r="J14" s="12">
        <f t="shared" si="2"/>
        <v>759.84560143626572</v>
      </c>
      <c r="K14" s="12">
        <f t="shared" si="2"/>
        <v>405.72</v>
      </c>
      <c r="L14" s="12">
        <f t="shared" si="2"/>
        <v>762.19142857142856</v>
      </c>
      <c r="M14" s="12">
        <f t="shared" si="2"/>
        <v>430.41750000000002</v>
      </c>
      <c r="N14" s="11"/>
    </row>
    <row r="15" spans="1:14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 spans="1:14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</row>
    <row r="17" spans="1:14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1:14" x14ac:dyDescent="0.25">
      <c r="A18" s="11"/>
      <c r="B18" s="11" t="s">
        <v>72</v>
      </c>
      <c r="C18" s="11" t="s">
        <v>71</v>
      </c>
      <c r="D18" s="11" t="s">
        <v>70</v>
      </c>
      <c r="E18" s="11"/>
      <c r="F18" s="11"/>
      <c r="G18" s="11" t="s">
        <v>69</v>
      </c>
      <c r="H18" s="11"/>
      <c r="I18" s="11"/>
      <c r="J18" s="11"/>
      <c r="K18" s="11"/>
      <c r="L18" s="11"/>
      <c r="M18" s="11"/>
      <c r="N18" s="11"/>
    </row>
    <row r="19" spans="1:14" x14ac:dyDescent="0.25">
      <c r="A19" s="11" t="s">
        <v>66</v>
      </c>
      <c r="B19" s="11">
        <v>5009990</v>
      </c>
      <c r="C19" s="11">
        <v>600796</v>
      </c>
      <c r="D19" s="11">
        <v>420212</v>
      </c>
      <c r="E19" s="11"/>
      <c r="F19" s="11" t="s">
        <v>68</v>
      </c>
      <c r="G19" s="12">
        <f>SUM(B2:M2)+SUM(B7:M7)+SUM(B12:M12)</f>
        <v>16265668</v>
      </c>
      <c r="H19" s="11"/>
      <c r="I19" s="11"/>
      <c r="J19" s="11"/>
      <c r="K19" s="11"/>
      <c r="L19" s="11"/>
      <c r="M19" s="11"/>
      <c r="N19" s="11"/>
    </row>
    <row r="20" spans="1:14" x14ac:dyDescent="0.25">
      <c r="A20" s="11" t="s">
        <v>67</v>
      </c>
      <c r="B20" s="12">
        <f>B19/SUM(B2:M2)</f>
        <v>0.53221364989450248</v>
      </c>
      <c r="C20" s="12">
        <f>C19/SUM(B7:M7)</f>
        <v>0.17019919217169155</v>
      </c>
      <c r="D20" s="12">
        <f>D19/SUM(B12:M12)</f>
        <v>0.12648545428713848</v>
      </c>
      <c r="E20" s="11"/>
      <c r="F20" s="11" t="s">
        <v>66</v>
      </c>
      <c r="G20" s="12">
        <f>SUM(B19:D19)</f>
        <v>6030998</v>
      </c>
      <c r="H20" s="11"/>
      <c r="I20" s="11"/>
      <c r="J20" s="11"/>
      <c r="K20" s="11"/>
      <c r="L20" s="11"/>
      <c r="M20" s="11"/>
      <c r="N20" s="11"/>
    </row>
    <row r="21" spans="1:14" x14ac:dyDescent="0.25">
      <c r="A21" s="11"/>
      <c r="B21" s="12">
        <f>1-B20</f>
        <v>0.46778635010549752</v>
      </c>
      <c r="C21" s="12">
        <f>1-C20</f>
        <v>0.82980080782830845</v>
      </c>
      <c r="D21" s="12">
        <f>1-D20</f>
        <v>0.87351454571286147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1:14" x14ac:dyDescent="0.25">
      <c r="A22" s="11" t="s">
        <v>65</v>
      </c>
      <c r="B22" s="12">
        <f>SUM(B2:M2)-B19</f>
        <v>4403504</v>
      </c>
      <c r="C22" s="12">
        <f>SUM(B7:M7)-C19</f>
        <v>2929162</v>
      </c>
      <c r="D22" s="12">
        <f>SUM(B12:M12)-D19</f>
        <v>2902004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</row>
    <row r="23" spans="1:14" x14ac:dyDescent="0.25">
      <c r="A23" s="11"/>
      <c r="B23" s="11" t="s">
        <v>64</v>
      </c>
      <c r="C23" s="11" t="s">
        <v>63</v>
      </c>
      <c r="D23" s="11" t="s">
        <v>62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1" t="s">
        <v>61</v>
      </c>
      <c r="B24" s="11">
        <v>13123</v>
      </c>
      <c r="C24" s="11">
        <v>14312</v>
      </c>
      <c r="D24" s="11">
        <v>24124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 spans="1:14" x14ac:dyDescent="0.25">
      <c r="A25" s="11"/>
      <c r="B25" s="11" t="s">
        <v>59</v>
      </c>
      <c r="C25" s="11" t="s">
        <v>58</v>
      </c>
      <c r="D25" s="11" t="s">
        <v>57</v>
      </c>
      <c r="E25" s="11" t="s">
        <v>56</v>
      </c>
      <c r="F25" s="11" t="s">
        <v>55</v>
      </c>
      <c r="G25" s="11" t="s">
        <v>54</v>
      </c>
      <c r="H25" s="11" t="s">
        <v>53</v>
      </c>
      <c r="I25" s="11"/>
      <c r="J25" s="11"/>
      <c r="K25" s="11"/>
      <c r="L25" s="11"/>
      <c r="M25" s="11"/>
      <c r="N25" s="11"/>
    </row>
    <row r="26" spans="1:14" x14ac:dyDescent="0.25">
      <c r="A26" s="11" t="s">
        <v>61</v>
      </c>
      <c r="B26" s="11">
        <v>122213</v>
      </c>
      <c r="C26" s="11">
        <v>122132</v>
      </c>
      <c r="D26" s="11">
        <v>241424</v>
      </c>
      <c r="E26" s="11">
        <v>121312</v>
      </c>
      <c r="F26" s="11">
        <v>341214</v>
      </c>
      <c r="G26" s="11">
        <v>123132</v>
      </c>
      <c r="H26" s="11">
        <v>132132</v>
      </c>
      <c r="I26" s="11"/>
      <c r="J26" s="11"/>
      <c r="K26" s="11"/>
      <c r="L26" s="11"/>
      <c r="M26" s="11"/>
      <c r="N26" s="11"/>
    </row>
    <row r="27" spans="1:14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 spans="1:14" x14ac:dyDescent="0.25">
      <c r="A28" t="s">
        <v>60</v>
      </c>
      <c r="B28" s="11" t="s">
        <v>59</v>
      </c>
      <c r="C28" s="11" t="s">
        <v>58</v>
      </c>
      <c r="D28" s="11" t="s">
        <v>57</v>
      </c>
      <c r="E28" s="11" t="s">
        <v>56</v>
      </c>
      <c r="F28" s="11" t="s">
        <v>55</v>
      </c>
      <c r="G28" s="11" t="s">
        <v>54</v>
      </c>
      <c r="H28" s="11" t="s">
        <v>53</v>
      </c>
      <c r="N28" s="11"/>
    </row>
    <row r="29" spans="1:14" x14ac:dyDescent="0.25">
      <c r="A29" t="s">
        <v>44</v>
      </c>
      <c r="B29" s="13">
        <v>850000</v>
      </c>
      <c r="C29" s="13">
        <v>935000</v>
      </c>
      <c r="D29" s="13">
        <v>800000</v>
      </c>
      <c r="E29" s="13">
        <v>1000000</v>
      </c>
      <c r="F29" s="13">
        <v>235000</v>
      </c>
      <c r="G29" s="13">
        <v>600000</v>
      </c>
      <c r="H29" s="13">
        <v>799000</v>
      </c>
      <c r="I29" s="13"/>
      <c r="J29" s="13"/>
      <c r="K29" s="13"/>
      <c r="L29" s="13"/>
      <c r="M29" s="13"/>
      <c r="N29" s="11"/>
    </row>
    <row r="30" spans="1:14" x14ac:dyDescent="0.25">
      <c r="A30" s="11" t="s">
        <v>52</v>
      </c>
      <c r="B30">
        <v>100</v>
      </c>
      <c r="C30">
        <v>50</v>
      </c>
      <c r="D30">
        <v>60</v>
      </c>
      <c r="E30">
        <v>80</v>
      </c>
      <c r="F30">
        <v>200</v>
      </c>
      <c r="G30">
        <v>260</v>
      </c>
      <c r="H30">
        <v>420</v>
      </c>
      <c r="I30" s="11"/>
      <c r="J30" s="11"/>
      <c r="K30" s="11"/>
      <c r="L30" s="11"/>
      <c r="M30" s="11"/>
      <c r="N30" s="11"/>
    </row>
    <row r="31" spans="1:14" x14ac:dyDescent="0.25">
      <c r="A31" s="11" t="s">
        <v>51</v>
      </c>
      <c r="B31" s="12">
        <f t="shared" ref="B31:H31" si="3">B29/B30</f>
        <v>8500</v>
      </c>
      <c r="C31" s="12">
        <f t="shared" si="3"/>
        <v>18700</v>
      </c>
      <c r="D31" s="12">
        <f t="shared" si="3"/>
        <v>13333.333333333334</v>
      </c>
      <c r="E31" s="12">
        <f t="shared" si="3"/>
        <v>12500</v>
      </c>
      <c r="F31" s="12">
        <f t="shared" si="3"/>
        <v>1175</v>
      </c>
      <c r="G31" s="12">
        <f t="shared" si="3"/>
        <v>2307.6923076923076</v>
      </c>
      <c r="H31" s="12">
        <f t="shared" si="3"/>
        <v>1902.3809523809523</v>
      </c>
      <c r="I31" s="11"/>
      <c r="J31" s="11"/>
      <c r="K31" s="11"/>
      <c r="L31" s="11"/>
      <c r="M31" s="11"/>
      <c r="N31" s="11"/>
    </row>
    <row r="32" spans="1:14" x14ac:dyDescent="0.25">
      <c r="A32" s="11"/>
      <c r="B32" s="11" t="s">
        <v>50</v>
      </c>
      <c r="C32" s="11" t="s">
        <v>49</v>
      </c>
      <c r="D32" s="11" t="s">
        <v>48</v>
      </c>
      <c r="E32" s="11" t="s">
        <v>47</v>
      </c>
      <c r="F32" s="11" t="s">
        <v>46</v>
      </c>
      <c r="G32" s="11"/>
      <c r="H32" s="11"/>
      <c r="I32" s="11"/>
      <c r="J32" s="11"/>
      <c r="K32" s="11"/>
      <c r="L32" s="11"/>
      <c r="M32" s="11"/>
      <c r="N32" s="11"/>
    </row>
    <row r="33" spans="1:14" x14ac:dyDescent="0.25">
      <c r="A33" s="11" t="s">
        <v>45</v>
      </c>
      <c r="B33" s="11">
        <v>123322</v>
      </c>
      <c r="C33" s="11">
        <v>123132</v>
      </c>
      <c r="D33" s="11">
        <v>234432</v>
      </c>
      <c r="E33" s="11">
        <v>234324</v>
      </c>
      <c r="F33" s="11">
        <v>234432</v>
      </c>
      <c r="G33" s="11"/>
      <c r="H33" s="11"/>
      <c r="I33" s="11"/>
      <c r="J33" s="11"/>
      <c r="K33" s="11"/>
      <c r="L33" s="11"/>
      <c r="M33" s="11"/>
      <c r="N33" s="11"/>
    </row>
    <row r="34" spans="1:14" x14ac:dyDescent="0.25">
      <c r="A34" s="11" t="s">
        <v>44</v>
      </c>
      <c r="B34" s="11">
        <v>132312312</v>
      </c>
      <c r="C34" s="11">
        <v>132321321</v>
      </c>
      <c r="D34" s="11">
        <v>132132321</v>
      </c>
      <c r="E34" s="11">
        <v>312312321</v>
      </c>
      <c r="F34" s="11">
        <v>312312321</v>
      </c>
      <c r="G34" s="11"/>
      <c r="H34" s="11"/>
      <c r="I34" s="11"/>
      <c r="J34" s="11"/>
      <c r="K34" s="11"/>
      <c r="L34" s="11"/>
      <c r="M34" s="11"/>
      <c r="N34" s="11"/>
    </row>
    <row r="35" spans="1:14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1:14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 spans="1:14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 spans="1:14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 spans="1:14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pans="1:14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 spans="1:14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</row>
    <row r="42" spans="1:14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spans="1:14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E76D1-533A-4374-8350-1DB0C037582E}">
  <sheetPr codeName="Planilha3"/>
  <dimension ref="A1:AA24"/>
  <sheetViews>
    <sheetView topLeftCell="A4" workbookViewId="0">
      <selection activeCell="I24" sqref="I24"/>
    </sheetView>
  </sheetViews>
  <sheetFormatPr defaultRowHeight="15" x14ac:dyDescent="0.25"/>
  <cols>
    <col min="1" max="1" width="22.5703125" bestFit="1" customWidth="1"/>
    <col min="2" max="2" width="15.85546875" style="3" bestFit="1" customWidth="1"/>
    <col min="3" max="3" width="16" bestFit="1" customWidth="1"/>
    <col min="7" max="9" width="14.28515625" bestFit="1" customWidth="1"/>
    <col min="10" max="10" width="15.85546875" bestFit="1" customWidth="1"/>
    <col min="11" max="15" width="14.28515625" bestFit="1" customWidth="1"/>
    <col min="16" max="16" width="15.85546875" bestFit="1" customWidth="1"/>
    <col min="17" max="18" width="14.28515625" bestFit="1" customWidth="1"/>
  </cols>
  <sheetData>
    <row r="1" spans="1:27" x14ac:dyDescent="0.25">
      <c r="A1" t="s">
        <v>5</v>
      </c>
      <c r="B1" s="3">
        <v>1000000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27" x14ac:dyDescent="0.25">
      <c r="A2" t="s">
        <v>6</v>
      </c>
      <c r="B2" s="3">
        <v>5000000</v>
      </c>
      <c r="F2" t="s">
        <v>22</v>
      </c>
      <c r="G2" s="3">
        <v>850000</v>
      </c>
      <c r="H2" s="3">
        <v>935000</v>
      </c>
      <c r="I2" s="3">
        <v>800000</v>
      </c>
      <c r="J2" s="3">
        <v>1000000</v>
      </c>
      <c r="K2" s="3">
        <v>235000</v>
      </c>
      <c r="L2" s="3">
        <v>600000</v>
      </c>
      <c r="M2" s="3">
        <v>799000</v>
      </c>
      <c r="N2" s="3">
        <v>589006</v>
      </c>
      <c r="O2" s="3">
        <v>496000</v>
      </c>
      <c r="P2" s="3">
        <v>1232000</v>
      </c>
      <c r="Q2" s="3">
        <v>988600</v>
      </c>
      <c r="R2" s="3">
        <v>888888</v>
      </c>
    </row>
    <row r="3" spans="1:27" x14ac:dyDescent="0.25">
      <c r="A3" t="s">
        <v>4</v>
      </c>
      <c r="B3" s="3">
        <v>500000</v>
      </c>
      <c r="F3" t="s">
        <v>23</v>
      </c>
      <c r="G3" s="3">
        <v>100000</v>
      </c>
      <c r="H3" s="3">
        <v>50000</v>
      </c>
      <c r="I3" s="3">
        <v>100000</v>
      </c>
      <c r="J3" s="3">
        <v>600000</v>
      </c>
      <c r="K3" s="3">
        <v>543000</v>
      </c>
      <c r="L3" s="3">
        <v>45000</v>
      </c>
      <c r="M3" s="3">
        <v>102000</v>
      </c>
      <c r="N3" s="3">
        <v>150326</v>
      </c>
      <c r="O3" s="3">
        <v>489632</v>
      </c>
      <c r="P3" s="3">
        <v>400000</v>
      </c>
      <c r="Q3" s="3">
        <v>450000</v>
      </c>
      <c r="R3" s="3">
        <v>500000</v>
      </c>
    </row>
    <row r="4" spans="1:27" x14ac:dyDescent="0.25">
      <c r="A4" t="s">
        <v>7</v>
      </c>
      <c r="B4" s="3">
        <v>5000000</v>
      </c>
      <c r="F4" t="s">
        <v>24</v>
      </c>
      <c r="G4" s="3">
        <f>G2-G3</f>
        <v>750000</v>
      </c>
      <c r="H4" s="3">
        <f t="shared" ref="H4:R4" si="0">H2-H3</f>
        <v>885000</v>
      </c>
      <c r="I4" s="3">
        <f t="shared" si="0"/>
        <v>700000</v>
      </c>
      <c r="J4" s="3">
        <f t="shared" si="0"/>
        <v>400000</v>
      </c>
      <c r="K4" s="3">
        <f t="shared" si="0"/>
        <v>-308000</v>
      </c>
      <c r="L4" s="3">
        <f t="shared" si="0"/>
        <v>555000</v>
      </c>
      <c r="M4" s="3">
        <f t="shared" si="0"/>
        <v>697000</v>
      </c>
      <c r="N4" s="3">
        <f t="shared" si="0"/>
        <v>438680</v>
      </c>
      <c r="O4" s="3">
        <f t="shared" si="0"/>
        <v>6368</v>
      </c>
      <c r="P4" s="3">
        <f t="shared" si="0"/>
        <v>832000</v>
      </c>
      <c r="Q4" s="3">
        <f t="shared" si="0"/>
        <v>538600</v>
      </c>
      <c r="R4" s="3">
        <f t="shared" si="0"/>
        <v>388888</v>
      </c>
    </row>
    <row r="5" spans="1:27" x14ac:dyDescent="0.25">
      <c r="A5" t="s">
        <v>8</v>
      </c>
      <c r="B5" s="3">
        <v>100000</v>
      </c>
    </row>
    <row r="6" spans="1:27" x14ac:dyDescent="0.25">
      <c r="A6" t="s">
        <v>10</v>
      </c>
      <c r="B6" s="3">
        <f>SUM(B1:B2)-SUM(B4:B5)</f>
        <v>900000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25</v>
      </c>
      <c r="N6" t="s">
        <v>26</v>
      </c>
      <c r="O6" t="s">
        <v>27</v>
      </c>
      <c r="P6" t="s">
        <v>28</v>
      </c>
      <c r="Q6" t="s">
        <v>29</v>
      </c>
      <c r="R6" t="s">
        <v>30</v>
      </c>
    </row>
    <row r="7" spans="1:27" x14ac:dyDescent="0.25">
      <c r="F7" t="s">
        <v>40</v>
      </c>
      <c r="G7">
        <v>100</v>
      </c>
      <c r="H7">
        <v>50</v>
      </c>
      <c r="I7">
        <v>60</v>
      </c>
      <c r="J7">
        <v>80</v>
      </c>
      <c r="K7">
        <v>200</v>
      </c>
      <c r="L7">
        <v>260</v>
      </c>
      <c r="M7">
        <v>420</v>
      </c>
      <c r="N7">
        <v>480</v>
      </c>
      <c r="O7">
        <v>557</v>
      </c>
      <c r="P7">
        <v>600</v>
      </c>
      <c r="Q7">
        <v>700</v>
      </c>
      <c r="R7">
        <v>800</v>
      </c>
    </row>
    <row r="8" spans="1:27" x14ac:dyDescent="0.25">
      <c r="F8" t="s">
        <v>41</v>
      </c>
      <c r="G8">
        <v>20</v>
      </c>
      <c r="H8">
        <v>10</v>
      </c>
      <c r="I8">
        <v>20</v>
      </c>
      <c r="J8">
        <v>40</v>
      </c>
      <c r="K8">
        <v>70</v>
      </c>
      <c r="L8">
        <v>90</v>
      </c>
      <c r="M8">
        <v>120</v>
      </c>
      <c r="N8">
        <v>130</v>
      </c>
      <c r="O8">
        <v>98</v>
      </c>
      <c r="P8">
        <v>120</v>
      </c>
      <c r="Q8">
        <v>120</v>
      </c>
      <c r="R8">
        <v>150</v>
      </c>
    </row>
    <row r="9" spans="1:27" x14ac:dyDescent="0.25">
      <c r="A9" t="s">
        <v>35</v>
      </c>
      <c r="B9" s="3">
        <f>B10+B11</f>
        <v>1000000</v>
      </c>
      <c r="C9" t="s">
        <v>36</v>
      </c>
      <c r="D9">
        <v>50000</v>
      </c>
      <c r="F9" t="s">
        <v>42</v>
      </c>
      <c r="G9">
        <v>100</v>
      </c>
      <c r="H9">
        <v>120</v>
      </c>
      <c r="I9">
        <v>90</v>
      </c>
      <c r="J9">
        <v>60</v>
      </c>
      <c r="K9">
        <v>160</v>
      </c>
      <c r="L9">
        <v>250</v>
      </c>
      <c r="M9">
        <v>380</v>
      </c>
      <c r="N9">
        <v>470</v>
      </c>
      <c r="O9">
        <v>556</v>
      </c>
      <c r="P9">
        <v>600</v>
      </c>
      <c r="Q9">
        <v>600</v>
      </c>
      <c r="R9">
        <v>700</v>
      </c>
    </row>
    <row r="10" spans="1:27" x14ac:dyDescent="0.25">
      <c r="A10" t="s">
        <v>37</v>
      </c>
      <c r="B10" s="3">
        <v>200000</v>
      </c>
      <c r="C10">
        <v>46700</v>
      </c>
    </row>
    <row r="11" spans="1:27" x14ac:dyDescent="0.25">
      <c r="A11" t="s">
        <v>34</v>
      </c>
      <c r="B11" s="3">
        <v>800000</v>
      </c>
      <c r="C11">
        <v>3300</v>
      </c>
      <c r="F11" s="5"/>
      <c r="G11" s="5"/>
      <c r="H11" s="5" t="s">
        <v>16</v>
      </c>
      <c r="J11" s="5" t="s">
        <v>17</v>
      </c>
      <c r="L11" s="5" t="s">
        <v>18</v>
      </c>
      <c r="N11" s="5" t="s">
        <v>19</v>
      </c>
      <c r="P11" s="5" t="s">
        <v>20</v>
      </c>
      <c r="R11" s="5" t="s">
        <v>21</v>
      </c>
      <c r="T11" s="5" t="s">
        <v>25</v>
      </c>
      <c r="V11" s="5" t="s">
        <v>26</v>
      </c>
      <c r="X11" s="5" t="s">
        <v>27</v>
      </c>
      <c r="Z11" s="5" t="s">
        <v>28</v>
      </c>
      <c r="AA11" s="5" t="s">
        <v>43</v>
      </c>
    </row>
    <row r="12" spans="1:27" x14ac:dyDescent="0.25">
      <c r="F12" s="14" t="s">
        <v>32</v>
      </c>
      <c r="G12" s="14"/>
      <c r="H12" s="6">
        <v>5</v>
      </c>
      <c r="J12" s="6">
        <v>3</v>
      </c>
      <c r="L12" s="5">
        <v>6</v>
      </c>
      <c r="N12" s="5">
        <v>6.1</v>
      </c>
      <c r="P12" s="5">
        <v>7</v>
      </c>
      <c r="R12" s="5">
        <v>8</v>
      </c>
      <c r="T12" s="5">
        <v>6</v>
      </c>
      <c r="V12" s="5">
        <v>4</v>
      </c>
      <c r="X12" s="5">
        <v>10</v>
      </c>
      <c r="Z12" s="5"/>
      <c r="AA12" s="8">
        <f>(1-(Z12/X12))*(-1)</f>
        <v>-1</v>
      </c>
    </row>
    <row r="13" spans="1:27" x14ac:dyDescent="0.25">
      <c r="F13" s="14" t="s">
        <v>33</v>
      </c>
      <c r="G13" s="14"/>
      <c r="H13" s="6">
        <v>1.2</v>
      </c>
      <c r="J13" s="6">
        <v>0.8</v>
      </c>
      <c r="L13" s="5">
        <v>2.2000000000000002</v>
      </c>
      <c r="N13" s="5">
        <v>2.2999999999999998</v>
      </c>
      <c r="P13" s="5">
        <v>3</v>
      </c>
      <c r="R13" s="5">
        <v>4</v>
      </c>
      <c r="T13" s="5">
        <v>2</v>
      </c>
      <c r="V13" s="5">
        <v>3</v>
      </c>
      <c r="X13" s="5">
        <v>20</v>
      </c>
      <c r="Z13" s="5"/>
      <c r="AA13" s="8">
        <f t="shared" ref="AA13:AA16" si="1">(1-(Z13/X13))*(-1)</f>
        <v>-1</v>
      </c>
    </row>
    <row r="14" spans="1:27" x14ac:dyDescent="0.25">
      <c r="F14" s="14" t="s">
        <v>34</v>
      </c>
      <c r="G14" s="14"/>
      <c r="H14" s="6">
        <v>80.42</v>
      </c>
      <c r="J14" s="6">
        <v>70.41</v>
      </c>
      <c r="L14" s="5">
        <v>50.41</v>
      </c>
      <c r="N14" s="5">
        <v>50.42</v>
      </c>
      <c r="P14" s="5">
        <v>51</v>
      </c>
      <c r="R14" s="5">
        <v>52</v>
      </c>
      <c r="T14" s="5">
        <v>53</v>
      </c>
      <c r="V14" s="5">
        <v>58</v>
      </c>
      <c r="X14" s="5">
        <v>30</v>
      </c>
      <c r="Z14" s="5"/>
      <c r="AA14" s="8">
        <f t="shared" si="1"/>
        <v>-1</v>
      </c>
    </row>
    <row r="15" spans="1:27" x14ac:dyDescent="0.25">
      <c r="F15" s="14" t="s">
        <v>38</v>
      </c>
      <c r="G15" s="14"/>
      <c r="H15" s="6">
        <v>24.4</v>
      </c>
      <c r="J15" s="6">
        <v>26.4</v>
      </c>
      <c r="L15" s="5">
        <v>24.4</v>
      </c>
      <c r="N15" s="5">
        <v>24.9</v>
      </c>
      <c r="P15" s="5">
        <v>26</v>
      </c>
      <c r="R15" s="5">
        <v>27</v>
      </c>
      <c r="T15" s="5">
        <v>28</v>
      </c>
      <c r="V15" s="5">
        <v>26</v>
      </c>
      <c r="X15" s="5">
        <v>40</v>
      </c>
      <c r="Z15" s="5"/>
      <c r="AA15" s="7">
        <f t="shared" si="1"/>
        <v>-1</v>
      </c>
    </row>
    <row r="16" spans="1:27" x14ac:dyDescent="0.25">
      <c r="F16" s="14" t="s">
        <v>39</v>
      </c>
      <c r="G16" s="14"/>
      <c r="H16" s="6">
        <v>40.21</v>
      </c>
      <c r="J16" s="6">
        <v>40.29</v>
      </c>
      <c r="L16" s="5">
        <v>4.2</v>
      </c>
      <c r="N16" s="5">
        <v>4.9000000000000004</v>
      </c>
      <c r="P16" s="5">
        <v>6</v>
      </c>
      <c r="R16" s="5">
        <v>8</v>
      </c>
      <c r="T16" s="5">
        <v>10</v>
      </c>
      <c r="V16" s="5">
        <v>9</v>
      </c>
      <c r="X16" s="5">
        <v>50</v>
      </c>
      <c r="Z16" s="5"/>
      <c r="AA16" s="7">
        <f t="shared" si="1"/>
        <v>-1</v>
      </c>
    </row>
    <row r="18" spans="6:17" x14ac:dyDescent="0.25">
      <c r="H18" s="5" t="s">
        <v>16</v>
      </c>
      <c r="I18" s="5" t="s">
        <v>17</v>
      </c>
      <c r="J18" s="5" t="s">
        <v>18</v>
      </c>
      <c r="K18" s="5" t="s">
        <v>19</v>
      </c>
      <c r="L18" s="5" t="s">
        <v>20</v>
      </c>
      <c r="M18" s="5" t="s">
        <v>21</v>
      </c>
      <c r="N18" s="5" t="s">
        <v>25</v>
      </c>
      <c r="O18" s="5" t="s">
        <v>26</v>
      </c>
      <c r="P18" s="5" t="s">
        <v>27</v>
      </c>
      <c r="Q18" s="5" t="s">
        <v>28</v>
      </c>
    </row>
    <row r="19" spans="6:17" x14ac:dyDescent="0.25">
      <c r="F19" s="14" t="s">
        <v>32</v>
      </c>
      <c r="G19" s="14"/>
      <c r="H19" s="7">
        <v>0.02</v>
      </c>
      <c r="I19">
        <v>-0.4</v>
      </c>
      <c r="J19" s="8">
        <f>(1-(J12/H12))*(-1)</f>
        <v>-0.4</v>
      </c>
      <c r="K19" s="7">
        <f>(1-(L12/J12))*(-1)</f>
        <v>1</v>
      </c>
      <c r="L19" s="7">
        <f>(1-(N12/L12))*(-1)</f>
        <v>1.6666666666666607E-2</v>
      </c>
      <c r="M19" s="7">
        <f>(1-(P12/N12))*(-1)</f>
        <v>0.14754098360655754</v>
      </c>
      <c r="N19" s="7">
        <f>(1-(R12/P12))*(-1)</f>
        <v>0.14285714285714279</v>
      </c>
      <c r="O19" s="8">
        <f>(1-(T12/R12))*(-1)</f>
        <v>-0.25</v>
      </c>
      <c r="P19" s="8">
        <f>(1-(V12/T12))*(-1)</f>
        <v>-0.33333333333333337</v>
      </c>
      <c r="Q19" s="7">
        <f>(1-(X12/V12))*(-1)</f>
        <v>1.5</v>
      </c>
    </row>
    <row r="20" spans="6:17" x14ac:dyDescent="0.25">
      <c r="F20" s="14" t="s">
        <v>33</v>
      </c>
      <c r="G20" s="14"/>
      <c r="H20" s="7">
        <v>0.02</v>
      </c>
      <c r="I20">
        <v>-0.33333333333333326</v>
      </c>
      <c r="J20" s="8">
        <f>(1-(J13/H13))*(-1)</f>
        <v>-0.33333333333333326</v>
      </c>
      <c r="K20" s="7">
        <f>(1-(L13/J13))*(-1)</f>
        <v>1.75</v>
      </c>
      <c r="L20" s="7">
        <f>(1-(N13/L13))*(-1)</f>
        <v>4.5454545454545192E-2</v>
      </c>
      <c r="M20" s="7">
        <f>(1-(P13/N13))*(-1)</f>
        <v>0.30434782608695654</v>
      </c>
      <c r="N20" s="7">
        <f>(1-(R13/P13))*(-1)</f>
        <v>0.33333333333333326</v>
      </c>
      <c r="O20" s="8">
        <f>(1-(T13/R13))*(-1)</f>
        <v>-0.5</v>
      </c>
      <c r="P20" s="7">
        <f>(1-(V13/T13))*(-1)</f>
        <v>0.5</v>
      </c>
      <c r="Q20" s="7">
        <f>(1-(X13/V13))*(-1)</f>
        <v>5.666666666666667</v>
      </c>
    </row>
    <row r="21" spans="6:17" x14ac:dyDescent="0.25">
      <c r="F21" s="14" t="s">
        <v>34</v>
      </c>
      <c r="G21" s="14"/>
      <c r="H21" s="7">
        <v>0.01</v>
      </c>
      <c r="I21">
        <v>-0.12447152449639398</v>
      </c>
      <c r="J21" s="8">
        <f>(1-(J14/H14))*(-1)</f>
        <v>-0.12447152449639398</v>
      </c>
      <c r="K21" s="9">
        <f>(1-(L14/J14))*(-1)</f>
        <v>-0.28405056099985804</v>
      </c>
      <c r="L21" s="7">
        <f>(1-(N14/L14))*(-1)</f>
        <v>1.9837333862349205E-4</v>
      </c>
      <c r="M21" s="7">
        <f>(1-(P14/N14))*(-1)</f>
        <v>1.1503371677905605E-2</v>
      </c>
      <c r="N21" s="7">
        <f>(1-(R14/P14))*(-1)</f>
        <v>1.9607843137254832E-2</v>
      </c>
      <c r="O21" s="7">
        <f>(1-(T14/R14))*(-1)</f>
        <v>1.9230769230769162E-2</v>
      </c>
      <c r="P21" s="7">
        <f>(1-(V14/T14))*(-1)</f>
        <v>9.4339622641509413E-2</v>
      </c>
      <c r="Q21" s="8">
        <f>(1-(X14/V14))*(-1)</f>
        <v>-0.48275862068965514</v>
      </c>
    </row>
    <row r="22" spans="6:17" x14ac:dyDescent="0.25">
      <c r="F22" s="14" t="s">
        <v>38</v>
      </c>
      <c r="G22" s="14"/>
      <c r="H22" s="7">
        <v>0.03</v>
      </c>
      <c r="I22">
        <v>8.1967213114754189E-2</v>
      </c>
      <c r="J22" s="7">
        <f>(1-(J15/H15))*(-1)</f>
        <v>8.1967213114754189E-2</v>
      </c>
      <c r="K22" s="9">
        <f>(1-(L15/J15))*(-1)</f>
        <v>-7.5757575757575801E-2</v>
      </c>
      <c r="L22" s="7">
        <f>(1-(N15/L15))*(-1)</f>
        <v>2.0491803278688492E-2</v>
      </c>
      <c r="M22" s="7">
        <f>(1-(P15/N15))*(-1)</f>
        <v>4.4176706827309342E-2</v>
      </c>
      <c r="N22" s="7">
        <f>(1-(R15/P15))*(-1)</f>
        <v>3.8461538461538547E-2</v>
      </c>
      <c r="O22" s="7">
        <f>(1-(T15/R15))*(-1)</f>
        <v>3.7037037037036979E-2</v>
      </c>
      <c r="P22" s="9">
        <f>(1-(V15/T15))*(-1)</f>
        <v>-7.1428571428571397E-2</v>
      </c>
      <c r="Q22" s="7">
        <f>(1-(X15/V15))*(-1)</f>
        <v>0.53846153846153855</v>
      </c>
    </row>
    <row r="23" spans="6:17" x14ac:dyDescent="0.25">
      <c r="F23" s="14" t="s">
        <v>39</v>
      </c>
      <c r="G23" s="14"/>
      <c r="H23" s="7">
        <v>0.04</v>
      </c>
      <c r="I23">
        <v>1.9895548371051675E-3</v>
      </c>
      <c r="J23" s="7">
        <f>(1-(J16/H16))*(-1)</f>
        <v>1.9895548371051675E-3</v>
      </c>
      <c r="K23" s="9">
        <f>(1-(L16/J16))*(-1)</f>
        <v>-0.89575577066269541</v>
      </c>
      <c r="L23" s="7">
        <f>(1-(N16/L16))*(-1)</f>
        <v>0.16666666666666674</v>
      </c>
      <c r="M23" s="7">
        <f>(1-(P16/N16))*(-1)</f>
        <v>0.22448979591836715</v>
      </c>
      <c r="N23" s="7">
        <f>(1-(R16/P16))*(-1)</f>
        <v>0.33333333333333326</v>
      </c>
      <c r="O23" s="7">
        <f>(1-(T16/R16))*(-1)</f>
        <v>0.25</v>
      </c>
      <c r="P23" s="9">
        <f>(1-(V16/T16))*(-1)</f>
        <v>-9.9999999999999978E-2</v>
      </c>
      <c r="Q23" s="7">
        <f>(1-(X16/V16))*(-1)</f>
        <v>4.5555555555555554</v>
      </c>
    </row>
    <row r="24" spans="6:17" x14ac:dyDescent="0.25">
      <c r="I24" s="10"/>
    </row>
  </sheetData>
  <mergeCells count="10">
    <mergeCell ref="F20:G20"/>
    <mergeCell ref="F21:G21"/>
    <mergeCell ref="F22:G22"/>
    <mergeCell ref="F23:G23"/>
    <mergeCell ref="F12:G12"/>
    <mergeCell ref="F13:G13"/>
    <mergeCell ref="F14:G14"/>
    <mergeCell ref="F15:G15"/>
    <mergeCell ref="F16:G16"/>
    <mergeCell ref="F19:G19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DASHBOARD-CFO</vt:lpstr>
      <vt:lpstr>Planilha1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Bernado</dc:creator>
  <cp:lastModifiedBy>Bernardo Seijas</cp:lastModifiedBy>
  <dcterms:created xsi:type="dcterms:W3CDTF">2015-06-05T18:19:34Z</dcterms:created>
  <dcterms:modified xsi:type="dcterms:W3CDTF">2025-09-17T00:29:41Z</dcterms:modified>
</cp:coreProperties>
</file>